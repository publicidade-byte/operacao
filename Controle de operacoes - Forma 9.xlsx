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70D8E6EC-FC32-4906-8C42-F21EA3D05238}" xr6:coauthVersionLast="47" xr6:coauthVersionMax="47" xr10:uidLastSave="{00000000-0000-0000-0000-000000000000}"/>
  <bookViews>
    <workbookView xWindow="-10560" yWindow="-16320" windowWidth="38640" windowHeight="15720" xr2:uid="{00000000-000D-0000-FFFF-FFFF00000000}"/>
  </bookViews>
  <sheets>
    <sheet name="OPERAÇÕES" sheetId="1" r:id="rId1"/>
    <sheet name="PAINEL" sheetId="2" r:id="rId2"/>
    <sheet name="ETAPAS" sheetId="3" r:id="rId3"/>
    <sheet name="COMO USAR" sheetId="4" r:id="rId4"/>
  </sheets>
  <calcPr calcId="191029"/>
</workbook>
</file>

<file path=xl/calcChain.xml><?xml version="1.0" encoding="utf-8"?>
<calcChain xmlns="http://schemas.openxmlformats.org/spreadsheetml/2006/main">
  <c r="B54" i="2" l="1"/>
  <c r="A54" i="2"/>
  <c r="B53" i="2"/>
  <c r="A53" i="2"/>
  <c r="B52" i="2"/>
  <c r="A52" i="2"/>
  <c r="C51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C43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C35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K27" i="2"/>
  <c r="J27" i="2"/>
  <c r="C27" i="2"/>
  <c r="B27" i="2"/>
  <c r="A27" i="2"/>
  <c r="J26" i="2"/>
  <c r="K26" i="2" s="1"/>
  <c r="B26" i="2"/>
  <c r="A26" i="2"/>
  <c r="J25" i="2"/>
  <c r="K25" i="2" s="1"/>
  <c r="D25" i="2"/>
  <c r="B25" i="2"/>
  <c r="A25" i="2"/>
  <c r="K24" i="2"/>
  <c r="J24" i="2"/>
  <c r="B24" i="2"/>
  <c r="A24" i="2"/>
  <c r="K23" i="2"/>
  <c r="J23" i="2"/>
  <c r="B23" i="2"/>
  <c r="A23" i="2"/>
  <c r="J22" i="2"/>
  <c r="K22" i="2" s="1"/>
  <c r="B22" i="2"/>
  <c r="A22" i="2"/>
  <c r="J21" i="2"/>
  <c r="K21" i="2" s="1"/>
  <c r="D21" i="2"/>
  <c r="B21" i="2"/>
  <c r="A21" i="2"/>
  <c r="K20" i="2"/>
  <c r="J20" i="2"/>
  <c r="B20" i="2"/>
  <c r="A20" i="2"/>
  <c r="K19" i="2"/>
  <c r="J19" i="2"/>
  <c r="C19" i="2"/>
  <c r="B19" i="2"/>
  <c r="A19" i="2"/>
  <c r="J18" i="2"/>
  <c r="K18" i="2" s="1"/>
  <c r="B18" i="2"/>
  <c r="A18" i="2"/>
  <c r="J17" i="2"/>
  <c r="K17" i="2" s="1"/>
  <c r="D17" i="2"/>
  <c r="B17" i="2"/>
  <c r="A17" i="2"/>
  <c r="J16" i="2"/>
  <c r="K16" i="2" s="1"/>
  <c r="B16" i="2"/>
  <c r="A16" i="2"/>
  <c r="J15" i="2"/>
  <c r="K15" i="2" s="1"/>
  <c r="D15" i="2"/>
  <c r="B15" i="2"/>
  <c r="A15" i="2"/>
  <c r="J14" i="2"/>
  <c r="K14" i="2" s="1"/>
  <c r="B14" i="2"/>
  <c r="A14" i="2"/>
  <c r="J13" i="2"/>
  <c r="K13" i="2" s="1"/>
  <c r="B13" i="2"/>
  <c r="A13" i="2"/>
  <c r="J12" i="2"/>
  <c r="K12" i="2" s="1"/>
  <c r="B12" i="2"/>
  <c r="A12" i="2"/>
  <c r="J11" i="2"/>
  <c r="K11" i="2" s="1"/>
  <c r="D11" i="2"/>
  <c r="B11" i="2"/>
  <c r="A11" i="2"/>
  <c r="J10" i="2"/>
  <c r="K10" i="2" s="1"/>
  <c r="B10" i="2"/>
  <c r="A10" i="2"/>
  <c r="J9" i="2"/>
  <c r="K9" i="2" s="1"/>
  <c r="D9" i="2"/>
  <c r="B9" i="2"/>
  <c r="A9" i="2"/>
  <c r="A5" i="2"/>
  <c r="G47" i="1"/>
  <c r="H47" i="1" s="1"/>
  <c r="F54" i="2" s="1"/>
  <c r="F47" i="1"/>
  <c r="E47" i="1" s="1"/>
  <c r="E54" i="2" s="1"/>
  <c r="G46" i="1"/>
  <c r="H46" i="1" s="1"/>
  <c r="F53" i="2" s="1"/>
  <c r="F46" i="1"/>
  <c r="D53" i="2" s="1"/>
  <c r="G45" i="1"/>
  <c r="H45" i="1" s="1"/>
  <c r="F52" i="2" s="1"/>
  <c r="F45" i="1"/>
  <c r="E45" i="1" s="1"/>
  <c r="E52" i="2" s="1"/>
  <c r="G44" i="1"/>
  <c r="H44" i="1" s="1"/>
  <c r="F51" i="2" s="1"/>
  <c r="F44" i="1"/>
  <c r="D51" i="2" s="1"/>
  <c r="G43" i="1"/>
  <c r="H43" i="1" s="1"/>
  <c r="F50" i="2" s="1"/>
  <c r="F43" i="1"/>
  <c r="E43" i="1" s="1"/>
  <c r="E50" i="2" s="1"/>
  <c r="G42" i="1"/>
  <c r="H42" i="1" s="1"/>
  <c r="F49" i="2" s="1"/>
  <c r="F42" i="1"/>
  <c r="D49" i="2" s="1"/>
  <c r="E42" i="1"/>
  <c r="E49" i="2" s="1"/>
  <c r="G41" i="1"/>
  <c r="H41" i="1" s="1"/>
  <c r="F48" i="2" s="1"/>
  <c r="F41" i="1"/>
  <c r="E41" i="1" s="1"/>
  <c r="E48" i="2" s="1"/>
  <c r="G40" i="1"/>
  <c r="H40" i="1" s="1"/>
  <c r="F47" i="2" s="1"/>
  <c r="F40" i="1"/>
  <c r="D47" i="2" s="1"/>
  <c r="E40" i="1"/>
  <c r="E47" i="2" s="1"/>
  <c r="G39" i="1"/>
  <c r="H39" i="1" s="1"/>
  <c r="F46" i="2" s="1"/>
  <c r="F39" i="1"/>
  <c r="E39" i="1" s="1"/>
  <c r="E46" i="2" s="1"/>
  <c r="G38" i="1"/>
  <c r="H38" i="1" s="1"/>
  <c r="F45" i="2" s="1"/>
  <c r="F38" i="1"/>
  <c r="D45" i="2" s="1"/>
  <c r="G37" i="1"/>
  <c r="H37" i="1" s="1"/>
  <c r="F44" i="2" s="1"/>
  <c r="F37" i="1"/>
  <c r="E37" i="1" s="1"/>
  <c r="E44" i="2" s="1"/>
  <c r="G36" i="1"/>
  <c r="H36" i="1" s="1"/>
  <c r="F43" i="2" s="1"/>
  <c r="F36" i="1"/>
  <c r="D43" i="2" s="1"/>
  <c r="E36" i="1"/>
  <c r="E43" i="2" s="1"/>
  <c r="G35" i="1"/>
  <c r="H35" i="1" s="1"/>
  <c r="F42" i="2" s="1"/>
  <c r="F35" i="1"/>
  <c r="E35" i="1" s="1"/>
  <c r="E42" i="2" s="1"/>
  <c r="G34" i="1"/>
  <c r="H34" i="1" s="1"/>
  <c r="F41" i="2" s="1"/>
  <c r="F34" i="1"/>
  <c r="D41" i="2" s="1"/>
  <c r="E34" i="1"/>
  <c r="E41" i="2" s="1"/>
  <c r="G33" i="1"/>
  <c r="H33" i="1" s="1"/>
  <c r="F40" i="2" s="1"/>
  <c r="F33" i="1"/>
  <c r="E33" i="1" s="1"/>
  <c r="E40" i="2" s="1"/>
  <c r="G32" i="1"/>
  <c r="H32" i="1" s="1"/>
  <c r="F39" i="2" s="1"/>
  <c r="F32" i="1"/>
  <c r="D39" i="2" s="1"/>
  <c r="E32" i="1"/>
  <c r="E39" i="2" s="1"/>
  <c r="G31" i="1"/>
  <c r="H31" i="1" s="1"/>
  <c r="F38" i="2" s="1"/>
  <c r="F31" i="1"/>
  <c r="E31" i="1" s="1"/>
  <c r="E38" i="2" s="1"/>
  <c r="G30" i="1"/>
  <c r="H30" i="1" s="1"/>
  <c r="F37" i="2" s="1"/>
  <c r="F30" i="1"/>
  <c r="D37" i="2" s="1"/>
  <c r="G29" i="1"/>
  <c r="H29" i="1" s="1"/>
  <c r="F36" i="2" s="1"/>
  <c r="F29" i="1"/>
  <c r="E29" i="1" s="1"/>
  <c r="E36" i="2" s="1"/>
  <c r="G28" i="1"/>
  <c r="H28" i="1" s="1"/>
  <c r="F35" i="2" s="1"/>
  <c r="F28" i="1"/>
  <c r="D35" i="2" s="1"/>
  <c r="G27" i="1"/>
  <c r="H27" i="1" s="1"/>
  <c r="F34" i="2" s="1"/>
  <c r="F27" i="1"/>
  <c r="E27" i="1" s="1"/>
  <c r="E34" i="2" s="1"/>
  <c r="G26" i="1"/>
  <c r="H26" i="1" s="1"/>
  <c r="F33" i="2" s="1"/>
  <c r="F26" i="1"/>
  <c r="D33" i="2" s="1"/>
  <c r="E26" i="1"/>
  <c r="E33" i="2" s="1"/>
  <c r="G25" i="1"/>
  <c r="H25" i="1" s="1"/>
  <c r="F32" i="2" s="1"/>
  <c r="F25" i="1"/>
  <c r="E25" i="1" s="1"/>
  <c r="E32" i="2" s="1"/>
  <c r="G24" i="1"/>
  <c r="H24" i="1" s="1"/>
  <c r="F31" i="2" s="1"/>
  <c r="F24" i="1"/>
  <c r="D31" i="2" s="1"/>
  <c r="E24" i="1"/>
  <c r="E31" i="2" s="1"/>
  <c r="G23" i="1"/>
  <c r="H23" i="1" s="1"/>
  <c r="F30" i="2" s="1"/>
  <c r="F23" i="1"/>
  <c r="E23" i="1" s="1"/>
  <c r="E30" i="2" s="1"/>
  <c r="G22" i="1"/>
  <c r="H22" i="1" s="1"/>
  <c r="F29" i="2" s="1"/>
  <c r="F22" i="1"/>
  <c r="D29" i="2" s="1"/>
  <c r="G21" i="1"/>
  <c r="H21" i="1" s="1"/>
  <c r="F28" i="2" s="1"/>
  <c r="F21" i="1"/>
  <c r="E21" i="1" s="1"/>
  <c r="E28" i="2" s="1"/>
  <c r="G20" i="1"/>
  <c r="H20" i="1" s="1"/>
  <c r="F27" i="2" s="1"/>
  <c r="F20" i="1"/>
  <c r="D27" i="2" s="1"/>
  <c r="E20" i="1"/>
  <c r="E27" i="2" s="1"/>
  <c r="G19" i="1"/>
  <c r="H19" i="1" s="1"/>
  <c r="F26" i="2" s="1"/>
  <c r="F19" i="1"/>
  <c r="E19" i="1" s="1"/>
  <c r="E26" i="2" s="1"/>
  <c r="G18" i="1"/>
  <c r="H18" i="1" s="1"/>
  <c r="F25" i="2" s="1"/>
  <c r="F18" i="1"/>
  <c r="C25" i="2" s="1"/>
  <c r="E18" i="1"/>
  <c r="E25" i="2" s="1"/>
  <c r="G17" i="1"/>
  <c r="H17" i="1" s="1"/>
  <c r="F24" i="2" s="1"/>
  <c r="F17" i="1"/>
  <c r="E17" i="1" s="1"/>
  <c r="E24" i="2" s="1"/>
  <c r="G16" i="1"/>
  <c r="H16" i="1" s="1"/>
  <c r="F23" i="2" s="1"/>
  <c r="F16" i="1"/>
  <c r="D23" i="2" s="1"/>
  <c r="E16" i="1"/>
  <c r="E23" i="2" s="1"/>
  <c r="G15" i="1"/>
  <c r="H15" i="1" s="1"/>
  <c r="F22" i="2" s="1"/>
  <c r="F15" i="1"/>
  <c r="E15" i="1" s="1"/>
  <c r="E22" i="2" s="1"/>
  <c r="G14" i="1"/>
  <c r="H14" i="1" s="1"/>
  <c r="F21" i="2" s="1"/>
  <c r="F14" i="1"/>
  <c r="E14" i="1" s="1"/>
  <c r="E21" i="2" s="1"/>
  <c r="G13" i="1"/>
  <c r="H13" i="1" s="1"/>
  <c r="F20" i="2" s="1"/>
  <c r="F13" i="1"/>
  <c r="E13" i="1" s="1"/>
  <c r="E20" i="2" s="1"/>
  <c r="G12" i="1"/>
  <c r="H12" i="1" s="1"/>
  <c r="F19" i="2" s="1"/>
  <c r="F12" i="1"/>
  <c r="D19" i="2" s="1"/>
  <c r="G11" i="1"/>
  <c r="H11" i="1" s="1"/>
  <c r="F18" i="2" s="1"/>
  <c r="F11" i="1"/>
  <c r="E11" i="1" s="1"/>
  <c r="E18" i="2" s="1"/>
  <c r="G10" i="1"/>
  <c r="H10" i="1" s="1"/>
  <c r="F17" i="2" s="1"/>
  <c r="F10" i="1"/>
  <c r="C17" i="2" s="1"/>
  <c r="E10" i="1"/>
  <c r="E17" i="2" s="1"/>
  <c r="G9" i="1"/>
  <c r="H9" i="1" s="1"/>
  <c r="F16" i="2" s="1"/>
  <c r="F9" i="1"/>
  <c r="E9" i="1" s="1"/>
  <c r="E16" i="2" s="1"/>
  <c r="G8" i="1"/>
  <c r="H8" i="1" s="1"/>
  <c r="F15" i="2" s="1"/>
  <c r="F8" i="1"/>
  <c r="C15" i="2" s="1"/>
  <c r="E8" i="1"/>
  <c r="E15" i="2" s="1"/>
  <c r="G7" i="1"/>
  <c r="H7" i="1" s="1"/>
  <c r="F14" i="2" s="1"/>
  <c r="F7" i="1"/>
  <c r="E7" i="1" s="1"/>
  <c r="E14" i="2" s="1"/>
  <c r="G6" i="1"/>
  <c r="H6" i="1" s="1"/>
  <c r="F13" i="2" s="1"/>
  <c r="F6" i="1"/>
  <c r="C13" i="2" s="1"/>
  <c r="G5" i="1"/>
  <c r="H5" i="1" s="1"/>
  <c r="F12" i="2" s="1"/>
  <c r="F5" i="1"/>
  <c r="E5" i="1" s="1"/>
  <c r="E12" i="2" s="1"/>
  <c r="G4" i="1"/>
  <c r="H4" i="1" s="1"/>
  <c r="F11" i="2" s="1"/>
  <c r="F4" i="1"/>
  <c r="C11" i="2" s="1"/>
  <c r="E4" i="1"/>
  <c r="E11" i="2" s="1"/>
  <c r="G3" i="1"/>
  <c r="H3" i="1" s="1"/>
  <c r="F10" i="2" s="1"/>
  <c r="F3" i="1"/>
  <c r="E3" i="1" s="1"/>
  <c r="E10" i="2" s="1"/>
  <c r="G2" i="1"/>
  <c r="H2" i="1" s="1"/>
  <c r="F2" i="1"/>
  <c r="C9" i="2" s="1"/>
  <c r="E2" i="1"/>
  <c r="E12" i="1" l="1"/>
  <c r="E19" i="2" s="1"/>
  <c r="E28" i="1"/>
  <c r="E35" i="2" s="1"/>
  <c r="E44" i="1"/>
  <c r="E51" i="2" s="1"/>
  <c r="C39" i="2"/>
  <c r="D13" i="2"/>
  <c r="E6" i="1"/>
  <c r="E13" i="2" s="1"/>
  <c r="E22" i="1"/>
  <c r="E29" i="2" s="1"/>
  <c r="E38" i="1"/>
  <c r="E45" i="2" s="1"/>
  <c r="C21" i="2"/>
  <c r="C23" i="2"/>
  <c r="C31" i="2"/>
  <c r="C47" i="2"/>
  <c r="E30" i="1"/>
  <c r="E37" i="2" s="1"/>
  <c r="E46" i="1"/>
  <c r="E53" i="2" s="1"/>
  <c r="E5" i="2"/>
  <c r="C5" i="2"/>
  <c r="F9" i="2"/>
  <c r="C10" i="2"/>
  <c r="C12" i="2"/>
  <c r="C18" i="2"/>
  <c r="C20" i="2"/>
  <c r="C40" i="2"/>
  <c r="C52" i="2"/>
  <c r="D12" i="2"/>
  <c r="D32" i="2"/>
  <c r="D40" i="2"/>
  <c r="D48" i="2"/>
  <c r="D52" i="2"/>
  <c r="C30" i="2"/>
  <c r="C34" i="2"/>
  <c r="C38" i="2"/>
  <c r="C42" i="2"/>
  <c r="C46" i="2"/>
  <c r="C50" i="2"/>
  <c r="C54" i="2"/>
  <c r="C14" i="2"/>
  <c r="C16" i="2"/>
  <c r="C22" i="2"/>
  <c r="C24" i="2"/>
  <c r="C26" i="2"/>
  <c r="C28" i="2"/>
  <c r="C32" i="2"/>
  <c r="C36" i="2"/>
  <c r="C44" i="2"/>
  <c r="C48" i="2"/>
  <c r="D10" i="2"/>
  <c r="D14" i="2"/>
  <c r="D16" i="2"/>
  <c r="D18" i="2"/>
  <c r="D20" i="2"/>
  <c r="D22" i="2"/>
  <c r="D24" i="2"/>
  <c r="D26" i="2"/>
  <c r="D28" i="2"/>
  <c r="D36" i="2"/>
  <c r="D44" i="2"/>
  <c r="E9" i="2"/>
  <c r="D34" i="2"/>
  <c r="D42" i="2"/>
  <c r="D54" i="2"/>
  <c r="D30" i="2"/>
  <c r="D38" i="2"/>
  <c r="D46" i="2"/>
  <c r="D50" i="2"/>
  <c r="C29" i="2"/>
  <c r="C33" i="2"/>
  <c r="C37" i="2"/>
  <c r="C41" i="2"/>
  <c r="C45" i="2"/>
  <c r="C49" i="2"/>
  <c r="C53" i="2"/>
  <c r="G5" i="2" l="1"/>
</calcChain>
</file>

<file path=xl/sharedStrings.xml><?xml version="1.0" encoding="utf-8"?>
<sst xmlns="http://schemas.openxmlformats.org/spreadsheetml/2006/main" count="264" uniqueCount="101">
  <si>
    <t>INÍCIO</t>
  </si>
  <si>
    <t>FIM</t>
  </si>
  <si>
    <t>OPERAÇÃO</t>
  </si>
  <si>
    <t>HOTEL</t>
  </si>
  <si>
    <t>STATUS</t>
  </si>
  <si>
    <t>% PRONTO</t>
  </si>
  <si>
    <t>VOUCHER ATÉ</t>
  </si>
  <si>
    <t>ALERTA</t>
  </si>
  <si>
    <t>Conferência de cadastro</t>
  </si>
  <si>
    <t>Ficha técnica solicitada</t>
  </si>
  <si>
    <t>Ficha técnica respondida</t>
  </si>
  <si>
    <t>Mapa de quartos conferido</t>
  </si>
  <si>
    <t>Cardápio recebido</t>
  </si>
  <si>
    <t>Hosp. de equipe antes</t>
  </si>
  <si>
    <t>Casos da saúde</t>
  </si>
  <si>
    <t>Room list liberado</t>
  </si>
  <si>
    <t>Template comissão</t>
  </si>
  <si>
    <t>Logística dos transportes</t>
  </si>
  <si>
    <t>Cadastro dos transportes</t>
  </si>
  <si>
    <t>Voucher</t>
  </si>
  <si>
    <t>Envio das listas de transp.</t>
  </si>
  <si>
    <t>Manutenção room list</t>
  </si>
  <si>
    <t>Rooming PRFs</t>
  </si>
  <si>
    <t>Rooming extras</t>
  </si>
  <si>
    <t>Enviado para o hotel</t>
  </si>
  <si>
    <t>No show</t>
  </si>
  <si>
    <t>Fechamento</t>
  </si>
  <si>
    <t>ALEXÂNIA</t>
  </si>
  <si>
    <t>TAUÁ ALEXÂNIA</t>
  </si>
  <si>
    <t>CAMP SP</t>
  </si>
  <si>
    <t>ITAPURA</t>
  </si>
  <si>
    <t>MALAI MANSO</t>
  </si>
  <si>
    <t>MALAI MANSO RESORT</t>
  </si>
  <si>
    <t>MED LAKE</t>
  </si>
  <si>
    <t>MED LAKE PARADISE</t>
  </si>
  <si>
    <t>CAMP CERRADO</t>
  </si>
  <si>
    <t>VILA VELUTTI</t>
  </si>
  <si>
    <t>FAZZENDA PARK</t>
  </si>
  <si>
    <t>FAZZENDA PARK RESORT</t>
  </si>
  <si>
    <t>NOVOTEL</t>
  </si>
  <si>
    <t>NOVOTEL ITU</t>
  </si>
  <si>
    <t>CAETÉ</t>
  </si>
  <si>
    <t>TAUÁ CAETÉ</t>
  </si>
  <si>
    <t>FORFUN SP</t>
  </si>
  <si>
    <t>BEACH PARK</t>
  </si>
  <si>
    <t>SUÍTES BEACH PARK</t>
  </si>
  <si>
    <t>VG ANGRA</t>
  </si>
  <si>
    <t>VILA GALÉ ANGRA</t>
  </si>
  <si>
    <t>PRATAGY</t>
  </si>
  <si>
    <t>PRATAGY BEACH RESORT</t>
  </si>
  <si>
    <t>CAMP SUL</t>
  </si>
  <si>
    <t>CALDAS DA IMPERATRIZ</t>
  </si>
  <si>
    <t>LE CANTON</t>
  </si>
  <si>
    <t>FLORIPA</t>
  </si>
  <si>
    <t>MED RIO</t>
  </si>
  <si>
    <t>MED RIO DAS PEDRAS</t>
  </si>
  <si>
    <t>Painel da operação</t>
  </si>
  <si>
    <t>Tudo aqui se calcula sozinho a partir da aba OPERAÇÕES. Não digite nada nesta aba.</t>
  </si>
  <si>
    <t>Operações no calendário</t>
  </si>
  <si>
    <t>Voucher atrasado</t>
  </si>
  <si>
    <t>Voucher vence em 7 dias</t>
  </si>
  <si>
    <t>Checklist completo</t>
  </si>
  <si>
    <t>Progresso por operação</t>
  </si>
  <si>
    <t>Onde o time está parado</t>
  </si>
  <si>
    <t>PERÍODO</t>
  </si>
  <si>
    <t>PROGRESSO</t>
  </si>
  <si>
    <t>%</t>
  </si>
  <si>
    <t>ETAPA</t>
  </si>
  <si>
    <t>FASE</t>
  </si>
  <si>
    <t>FEITAS</t>
  </si>
  <si>
    <t>FALTAM</t>
  </si>
  <si>
    <t>Pré-voucher</t>
  </si>
  <si>
    <t>Pós-voucher</t>
  </si>
  <si>
    <t>As etapas do processo</t>
  </si>
  <si>
    <t>Referência. A ordem aqui é a ordem das colunas na aba OPERAÇÕES.</t>
  </si>
  <si>
    <t>#</t>
  </si>
  <si>
    <t>PRAZO</t>
  </si>
  <si>
    <t>sem prazo definido</t>
  </si>
  <si>
    <t>7 dias antes da viagem</t>
  </si>
  <si>
    <t>Como usar esta planilha</t>
  </si>
  <si>
    <t>O que você preenche</t>
  </si>
  <si>
    <t>Só as caixinhas das 19 etapas, na aba OPERAÇÕES — as colunas com o nome girado.</t>
  </si>
  <si>
    <t>Marque quando a tarefa estiver de fato pronta. Qualquer pessoa da equipe pode marcar.</t>
  </si>
  <si>
    <t/>
  </si>
  <si>
    <t>O que se calcula sozinho</t>
  </si>
  <si>
    <t>STATUS, % PRONTO, VOUCHER ATÉ e ALERTA. Não digite nada nessas quatro colunas.</t>
  </si>
  <si>
    <t>A aba PAINEL inteira. Ela lê a aba OPERAÇÕES e se atualiza a cada caixa marcada.</t>
  </si>
  <si>
    <t>O alerta do voucher</t>
  </si>
  <si>
    <t>VOUCHER ATÉ é a data de início menos 7 dias — a regra de uma semana antes.</t>
  </si>
  <si>
    <t>ALERTA fica amarelo na semana que antecede o prazo e vermelho quando passa dele.</t>
  </si>
  <si>
    <t>Marcou a caixa do Voucher, o alerta some sozinho.</t>
  </si>
  <si>
    <t>Operação nova</t>
  </si>
  <si>
    <t>Insira uma linha no fim da aba OPERAÇÕES, preencha INÍCIO, FIM, OPERAÇÃO e HOTEL,</t>
  </si>
  <si>
    <t>e arraste as fórmulas das colunas E a H da linha de cima. O painel já a inclui.</t>
  </si>
  <si>
    <t>Duas coisas que a planilha não faz sozinha</t>
  </si>
  <si>
    <t>1. Não registra quem marcou nem quando — uma caixa marcada é só VERDADEIRO.</t>
  </si>
  <si>
    <t>2. Não avisa ninguém: o alerta aparece na tela, mas não manda e-mail nem mensagem.</t>
  </si>
  <si>
    <t>As duas se resolvem com o script do arquivo "registro-automatico.gs", se você subir</t>
  </si>
  <si>
    <t>esta planilha para o Google Sheets. As instruções estão dentro do próprio arquivo.</t>
  </si>
  <si>
    <t>Datas</t>
  </si>
  <si>
    <t>A planilha original não trazia o ano. Foi assumido 2026 nas 46 operações importadas.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</si>
</sst>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  <font>
      <sz val="9"/>
      <color rgb="FF808080"/>
      <name val="Arial"/>
    </font>
    <font>
      <sz val="9"/>
      <color rgb="FF595959"/>
      <name val="Arial"/>
    </font>
    <font>
      <b/>
      <sz val="20"/>
      <color rgb="FF000000"/>
      <name val="Arial"/>
    </font>
    <font>
      <b/>
      <sz val="20"/>
      <color rgb="FFC00000"/>
      <name val="Arial"/>
    </font>
    <font>
      <b/>
      <sz val="20"/>
      <color rgb="FFBF8F00"/>
      <name val="Arial"/>
    </font>
    <font>
      <b/>
      <sz val="20"/>
      <color rgb="FF548235"/>
      <name val="Arial"/>
    </font>
    <font>
      <b/>
      <sz val="12"/>
      <name val="Arial"/>
    </font>
    <font>
      <sz val="10"/>
      <color rgb="FF4472C4"/>
      <name val="Arial"/>
    </font>
    <font>
      <b/>
      <sz val="10"/>
      <color rgb="FF9C0006"/>
      <name val="Arial"/>
    </font>
    <font>
      <b/>
      <sz val="11"/>
      <color rgb="FF1F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textRotation="90"/>
    </xf>
    <xf numFmtId="14" fontId="2" fillId="0" borderId="1" xfId="0" applyNumberFormat="1" applyFont="1" applyBorder="1"/>
    <xf numFmtId="0" fontId="2" fillId="0" borderId="1" xfId="0" applyFont="1" applyBorder="1"/>
    <xf numFmtId="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2" borderId="1" xfId="0" applyFont="1" applyFill="1" applyBorder="1"/>
    <xf numFmtId="0" fontId="11" fillId="0" borderId="1" xfId="0" applyFont="1" applyBorder="1"/>
    <xf numFmtId="0" fontId="4" fillId="0" borderId="1" xfId="0" applyFont="1" applyBorder="1"/>
    <xf numFmtId="0" fontId="12" fillId="0" borderId="1" xfId="0" applyFont="1" applyBorder="1"/>
    <xf numFmtId="0" fontId="13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b/>
        <sz val="10"/>
        <color rgb="FF9C0006"/>
        <name val="Arial"/>
      </font>
      <fill>
        <patternFill patternType="solid">
          <bgColor rgb="FFFFC7CE"/>
        </patternFill>
      </fill>
    </dxf>
    <dxf>
      <fill>
        <patternFill patternType="solid">
          <bgColor rgb="FFFFF2CC"/>
        </patternFill>
      </fill>
    </dxf>
    <dxf>
      <font>
        <sz val="10"/>
        <color rgb="FFF2F2F2"/>
        <name val="Arial"/>
      </font>
      <fill>
        <patternFill patternType="solid">
          <bgColor rgb="FFF2F2F2"/>
        </patternFill>
      </fill>
    </dxf>
    <dxf>
      <font>
        <sz val="10"/>
        <color rgb="FFC6EFCE"/>
        <name val="Arial"/>
      </font>
      <fill>
        <patternFill patternType="solid">
          <bgColor rgb="FFC6EFCE"/>
        </patternFill>
      </fill>
    </dxf>
    <dxf>
      <font>
        <sz val="10"/>
        <color rgb="FF9C6500"/>
        <name val="Arial"/>
      </font>
      <fill>
        <patternFill patternType="solid"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bgColor rgb="FFFFC7CE"/>
        </patternFill>
      </fill>
    </dxf>
    <dxf>
      <font>
        <b/>
        <sz val="10"/>
        <color rgb="FF9C0006"/>
        <name val="Arial"/>
      </font>
    </dxf>
    <dxf>
      <font>
        <sz val="10"/>
        <color rgb="FF006100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"/>
  <sheetViews>
    <sheetView tabSelected="1"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1" customWidth="1"/>
    <col min="3" max="3" width="18" customWidth="1"/>
    <col min="4" max="4" width="24" customWidth="1"/>
    <col min="5" max="5" width="15" customWidth="1"/>
    <col min="6" max="6" width="10" customWidth="1"/>
    <col min="7" max="7" width="13" customWidth="1"/>
    <col min="8" max="8" width="19" customWidth="1"/>
    <col min="9" max="27" width="4.42578125" customWidth="1"/>
  </cols>
  <sheetData>
    <row r="1" spans="1:27" ht="129.94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3">
        <v>46294</v>
      </c>
      <c r="B2" s="3">
        <v>46297</v>
      </c>
      <c r="C2" s="4" t="s">
        <v>27</v>
      </c>
      <c r="D2" s="4" t="s">
        <v>28</v>
      </c>
      <c r="E2" s="4" t="str">
        <f t="shared" ref="E2:E47" ca="1" si="0">IF(F2=1,"Concluída",IF(T2=TRUE,IF(TODAY()&gt;B2,"Pós-viagem","Voucher enviado"),IF(TODAY()&gt;B2,"Atrasada","Em preparação")))</f>
        <v>Em preparação</v>
      </c>
      <c r="F2" s="5">
        <f t="shared" ref="F2:F47" si="1">SUMPRODUCT(--(I2:AA2=TRUE))/19</f>
        <v>0</v>
      </c>
      <c r="G2" s="3">
        <f t="shared" ref="G2:G47" si="2">A2-7</f>
        <v>46287</v>
      </c>
      <c r="H2" s="4" t="str">
        <f t="shared" ref="H2:H47" ca="1" si="3">IF(T2=TRUE,"",IF(TODAY()&gt;G2,"VOUCHER ATRASADO",IF(TODAY()&gt;=G2-7,"Voucher em "&amp;(G2-TODAY())&amp;" dias","")))</f>
        <v/>
      </c>
      <c r="I2" s="6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</row>
    <row r="3" spans="1:27" x14ac:dyDescent="0.25">
      <c r="A3" s="3">
        <v>46296</v>
      </c>
      <c r="B3" s="3">
        <v>46299</v>
      </c>
      <c r="C3" s="4" t="s">
        <v>29</v>
      </c>
      <c r="D3" s="4" t="s">
        <v>30</v>
      </c>
      <c r="E3" s="4" t="str">
        <f t="shared" ca="1" si="0"/>
        <v>Em preparação</v>
      </c>
      <c r="F3" s="5">
        <f t="shared" si="1"/>
        <v>0</v>
      </c>
      <c r="G3" s="3">
        <f t="shared" si="2"/>
        <v>46289</v>
      </c>
      <c r="H3" s="4" t="str">
        <f t="shared" ca="1" si="3"/>
        <v/>
      </c>
      <c r="I3" s="6" t="b">
        <v>0</v>
      </c>
      <c r="J3" s="6" t="b">
        <v>0</v>
      </c>
      <c r="K3" s="6" t="b">
        <v>0</v>
      </c>
      <c r="L3" s="6" t="b">
        <v>0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6" t="b">
        <v>0</v>
      </c>
      <c r="U3" s="6" t="b">
        <v>0</v>
      </c>
      <c r="V3" s="6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6" t="b">
        <v>0</v>
      </c>
    </row>
    <row r="4" spans="1:27" x14ac:dyDescent="0.25">
      <c r="A4" s="3">
        <v>46299</v>
      </c>
      <c r="B4" s="3">
        <v>46302</v>
      </c>
      <c r="C4" s="4" t="s">
        <v>29</v>
      </c>
      <c r="D4" s="4" t="s">
        <v>30</v>
      </c>
      <c r="E4" s="4" t="str">
        <f t="shared" ca="1" si="0"/>
        <v>Em preparação</v>
      </c>
      <c r="F4" s="5">
        <f t="shared" si="1"/>
        <v>0</v>
      </c>
      <c r="G4" s="3">
        <f t="shared" si="2"/>
        <v>46292</v>
      </c>
      <c r="H4" s="4" t="str">
        <f t="shared" ca="1" si="3"/>
        <v/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</row>
    <row r="5" spans="1:27" x14ac:dyDescent="0.25">
      <c r="A5" s="3">
        <v>46300</v>
      </c>
      <c r="B5" s="3">
        <v>46303</v>
      </c>
      <c r="C5" s="4" t="s">
        <v>31</v>
      </c>
      <c r="D5" s="4" t="s">
        <v>32</v>
      </c>
      <c r="E5" s="4" t="str">
        <f t="shared" ca="1" si="0"/>
        <v>Em preparação</v>
      </c>
      <c r="F5" s="5">
        <f t="shared" si="1"/>
        <v>0</v>
      </c>
      <c r="G5" s="3">
        <f t="shared" si="2"/>
        <v>46293</v>
      </c>
      <c r="H5" s="4" t="str">
        <f t="shared" ca="1" si="3"/>
        <v/>
      </c>
      <c r="I5" s="6" t="b">
        <v>0</v>
      </c>
      <c r="J5" s="6" t="b">
        <v>0</v>
      </c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6" t="b">
        <v>0</v>
      </c>
    </row>
    <row r="6" spans="1:27" x14ac:dyDescent="0.25">
      <c r="A6" s="3">
        <v>46300</v>
      </c>
      <c r="B6" s="3">
        <v>46303</v>
      </c>
      <c r="C6" s="4" t="s">
        <v>33</v>
      </c>
      <c r="D6" s="4" t="s">
        <v>34</v>
      </c>
      <c r="E6" s="4" t="str">
        <f t="shared" ca="1" si="0"/>
        <v>Em preparação</v>
      </c>
      <c r="F6" s="5">
        <f t="shared" si="1"/>
        <v>0</v>
      </c>
      <c r="G6" s="3">
        <f t="shared" si="2"/>
        <v>46293</v>
      </c>
      <c r="H6" s="4" t="str">
        <f t="shared" ca="1" si="3"/>
        <v/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</row>
    <row r="7" spans="1:27" x14ac:dyDescent="0.25">
      <c r="A7" s="3">
        <v>46302</v>
      </c>
      <c r="B7" s="3">
        <v>46305</v>
      </c>
      <c r="C7" s="4" t="s">
        <v>29</v>
      </c>
      <c r="D7" s="4" t="s">
        <v>30</v>
      </c>
      <c r="E7" s="4" t="str">
        <f t="shared" ca="1" si="0"/>
        <v>Em preparação</v>
      </c>
      <c r="F7" s="5">
        <f t="shared" si="1"/>
        <v>0</v>
      </c>
      <c r="G7" s="3">
        <f t="shared" si="2"/>
        <v>46295</v>
      </c>
      <c r="H7" s="4" t="str">
        <f t="shared" ca="1" si="3"/>
        <v/>
      </c>
      <c r="I7" s="6" t="b">
        <v>0</v>
      </c>
      <c r="J7" s="6" t="b">
        <v>0</v>
      </c>
      <c r="K7" s="6" t="b">
        <v>0</v>
      </c>
      <c r="L7" s="6" t="b">
        <v>0</v>
      </c>
      <c r="M7" s="6" t="b">
        <v>0</v>
      </c>
      <c r="N7" s="6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6" t="b">
        <v>0</v>
      </c>
    </row>
    <row r="8" spans="1:27" x14ac:dyDescent="0.25">
      <c r="A8" s="3">
        <v>46305</v>
      </c>
      <c r="B8" s="3">
        <v>46308</v>
      </c>
      <c r="C8" s="4" t="s">
        <v>29</v>
      </c>
      <c r="D8" s="4" t="s">
        <v>30</v>
      </c>
      <c r="E8" s="4" t="str">
        <f t="shared" ca="1" si="0"/>
        <v>Em preparação</v>
      </c>
      <c r="F8" s="5">
        <f t="shared" si="1"/>
        <v>0</v>
      </c>
      <c r="G8" s="3">
        <f t="shared" si="2"/>
        <v>46298</v>
      </c>
      <c r="H8" s="4" t="str">
        <f t="shared" ca="1" si="3"/>
        <v/>
      </c>
      <c r="I8" s="6" t="b">
        <v>0</v>
      </c>
      <c r="J8" s="6" t="b">
        <v>0</v>
      </c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</row>
    <row r="9" spans="1:27" x14ac:dyDescent="0.25">
      <c r="A9" s="3">
        <v>46307</v>
      </c>
      <c r="B9" s="3">
        <v>46310</v>
      </c>
      <c r="C9" s="4" t="s">
        <v>33</v>
      </c>
      <c r="D9" s="4" t="s">
        <v>34</v>
      </c>
      <c r="E9" s="4" t="str">
        <f t="shared" ca="1" si="0"/>
        <v>Em preparação</v>
      </c>
      <c r="F9" s="5">
        <f t="shared" si="1"/>
        <v>0</v>
      </c>
      <c r="G9" s="3">
        <f t="shared" si="2"/>
        <v>46300</v>
      </c>
      <c r="H9" s="4" t="str">
        <f t="shared" ca="1" si="3"/>
        <v/>
      </c>
      <c r="I9" s="6" t="b">
        <v>0</v>
      </c>
      <c r="J9" s="6" t="b">
        <v>0</v>
      </c>
      <c r="K9" s="6" t="b">
        <v>0</v>
      </c>
      <c r="L9" s="6" t="b">
        <v>0</v>
      </c>
      <c r="M9" s="6" t="b">
        <v>0</v>
      </c>
      <c r="N9" s="6" t="b">
        <v>0</v>
      </c>
      <c r="O9" s="6" t="b">
        <v>0</v>
      </c>
      <c r="P9" s="6" t="b">
        <v>0</v>
      </c>
      <c r="Q9" s="6" t="b">
        <v>0</v>
      </c>
      <c r="R9" s="6" t="b">
        <v>0</v>
      </c>
      <c r="S9" s="6" t="b">
        <v>0</v>
      </c>
      <c r="T9" s="6" t="b">
        <v>0</v>
      </c>
      <c r="U9" s="6" t="b">
        <v>0</v>
      </c>
      <c r="V9" s="6" t="b">
        <v>0</v>
      </c>
      <c r="W9" s="6" t="b">
        <v>0</v>
      </c>
      <c r="X9" s="6" t="b">
        <v>0</v>
      </c>
      <c r="Y9" s="6" t="b">
        <v>0</v>
      </c>
      <c r="Z9" s="6" t="b">
        <v>0</v>
      </c>
      <c r="AA9" s="6" t="b">
        <v>0</v>
      </c>
    </row>
    <row r="10" spans="1:27" x14ac:dyDescent="0.25">
      <c r="A10" s="3">
        <v>46308</v>
      </c>
      <c r="B10" s="3">
        <v>46311</v>
      </c>
      <c r="C10" s="4" t="s">
        <v>35</v>
      </c>
      <c r="D10" s="4" t="s">
        <v>36</v>
      </c>
      <c r="E10" s="4" t="str">
        <f t="shared" ca="1" si="0"/>
        <v>Em preparação</v>
      </c>
      <c r="F10" s="5">
        <f t="shared" si="1"/>
        <v>0</v>
      </c>
      <c r="G10" s="3">
        <f t="shared" si="2"/>
        <v>46301</v>
      </c>
      <c r="H10" s="4" t="str">
        <f t="shared" ca="1" si="3"/>
        <v/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</row>
    <row r="11" spans="1:27" x14ac:dyDescent="0.25">
      <c r="A11" s="3">
        <v>46308</v>
      </c>
      <c r="B11" s="3">
        <v>46311</v>
      </c>
      <c r="C11" s="4" t="s">
        <v>29</v>
      </c>
      <c r="D11" s="4" t="s">
        <v>30</v>
      </c>
      <c r="E11" s="4" t="str">
        <f t="shared" ca="1" si="0"/>
        <v>Em preparação</v>
      </c>
      <c r="F11" s="5">
        <f t="shared" si="1"/>
        <v>0</v>
      </c>
      <c r="G11" s="3">
        <f t="shared" si="2"/>
        <v>46301</v>
      </c>
      <c r="H11" s="4" t="str">
        <f t="shared" ca="1" si="3"/>
        <v/>
      </c>
      <c r="I11" s="6" t="b">
        <v>0</v>
      </c>
      <c r="J11" s="6" t="b">
        <v>0</v>
      </c>
      <c r="K11" s="6" t="b">
        <v>0</v>
      </c>
      <c r="L11" s="6" t="b">
        <v>0</v>
      </c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b">
        <v>0</v>
      </c>
      <c r="T11" s="6" t="b">
        <v>0</v>
      </c>
      <c r="U11" s="6" t="b">
        <v>0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0</v>
      </c>
      <c r="AA11" s="6" t="b">
        <v>0</v>
      </c>
    </row>
    <row r="12" spans="1:27" x14ac:dyDescent="0.25">
      <c r="A12" s="3">
        <v>46311</v>
      </c>
      <c r="B12" s="3">
        <v>46314</v>
      </c>
      <c r="C12" s="4" t="s">
        <v>29</v>
      </c>
      <c r="D12" s="4" t="s">
        <v>30</v>
      </c>
      <c r="E12" s="4" t="str">
        <f t="shared" ca="1" si="0"/>
        <v>Em preparação</v>
      </c>
      <c r="F12" s="5">
        <f t="shared" si="1"/>
        <v>0</v>
      </c>
      <c r="G12" s="3">
        <f t="shared" si="2"/>
        <v>46304</v>
      </c>
      <c r="H12" s="4" t="str">
        <f t="shared" ca="1" si="3"/>
        <v/>
      </c>
      <c r="I12" s="6" t="b">
        <v>0</v>
      </c>
      <c r="J12" s="6" t="b">
        <v>0</v>
      </c>
      <c r="K12" s="6" t="b">
        <v>0</v>
      </c>
      <c r="L12" s="6" t="b">
        <v>0</v>
      </c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b">
        <v>0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</row>
    <row r="13" spans="1:27" x14ac:dyDescent="0.25">
      <c r="A13" s="3">
        <v>46313</v>
      </c>
      <c r="B13" s="3">
        <v>46316</v>
      </c>
      <c r="C13" s="4" t="s">
        <v>37</v>
      </c>
      <c r="D13" s="4" t="s">
        <v>38</v>
      </c>
      <c r="E13" s="4" t="str">
        <f t="shared" ca="1" si="0"/>
        <v>Em preparação</v>
      </c>
      <c r="F13" s="5">
        <f t="shared" si="1"/>
        <v>0</v>
      </c>
      <c r="G13" s="3">
        <f t="shared" si="2"/>
        <v>46306</v>
      </c>
      <c r="H13" s="4" t="str">
        <f t="shared" ca="1" si="3"/>
        <v/>
      </c>
      <c r="I13" s="6" t="b">
        <v>0</v>
      </c>
      <c r="J13" s="6" t="b">
        <v>0</v>
      </c>
      <c r="K13" s="6" t="b">
        <v>0</v>
      </c>
      <c r="L13" s="6" t="b">
        <v>0</v>
      </c>
      <c r="M13" s="6" t="b">
        <v>0</v>
      </c>
      <c r="N13" s="6" t="b">
        <v>0</v>
      </c>
      <c r="O13" s="6" t="b">
        <v>0</v>
      </c>
      <c r="P13" s="6" t="b">
        <v>0</v>
      </c>
      <c r="Q13" s="6" t="b">
        <v>0</v>
      </c>
      <c r="R13" s="6" t="b">
        <v>0</v>
      </c>
      <c r="S13" s="6" t="b">
        <v>0</v>
      </c>
      <c r="T13" s="6" t="b">
        <v>0</v>
      </c>
      <c r="U13" s="6" t="b">
        <v>0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6" t="b">
        <v>0</v>
      </c>
    </row>
    <row r="14" spans="1:27" x14ac:dyDescent="0.25">
      <c r="A14" s="3">
        <v>46314</v>
      </c>
      <c r="B14" s="3">
        <v>46317</v>
      </c>
      <c r="C14" s="4" t="s">
        <v>29</v>
      </c>
      <c r="D14" s="4" t="s">
        <v>30</v>
      </c>
      <c r="E14" s="4" t="str">
        <f t="shared" ca="1" si="0"/>
        <v>Em preparação</v>
      </c>
      <c r="F14" s="5">
        <f t="shared" si="1"/>
        <v>0</v>
      </c>
      <c r="G14" s="3">
        <f t="shared" si="2"/>
        <v>46307</v>
      </c>
      <c r="H14" s="4" t="str">
        <f t="shared" ca="1" si="3"/>
        <v/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</row>
    <row r="15" spans="1:27" x14ac:dyDescent="0.25">
      <c r="A15" s="3">
        <v>46317</v>
      </c>
      <c r="B15" s="3">
        <v>46320</v>
      </c>
      <c r="C15" s="4" t="s">
        <v>29</v>
      </c>
      <c r="D15" s="4" t="s">
        <v>30</v>
      </c>
      <c r="E15" s="4" t="str">
        <f t="shared" ca="1" si="0"/>
        <v>Em preparação</v>
      </c>
      <c r="F15" s="5">
        <f t="shared" si="1"/>
        <v>0</v>
      </c>
      <c r="G15" s="3">
        <f t="shared" si="2"/>
        <v>46310</v>
      </c>
      <c r="H15" s="4" t="str">
        <f t="shared" ca="1" si="3"/>
        <v/>
      </c>
      <c r="I15" s="6" t="b">
        <v>0</v>
      </c>
      <c r="J15" s="6" t="b">
        <v>0</v>
      </c>
      <c r="K15" s="6" t="b">
        <v>0</v>
      </c>
      <c r="L15" s="6" t="b">
        <v>0</v>
      </c>
      <c r="M15" s="6" t="b">
        <v>0</v>
      </c>
      <c r="N15" s="6" t="b">
        <v>0</v>
      </c>
      <c r="O15" s="6" t="b">
        <v>0</v>
      </c>
      <c r="P15" s="6" t="b">
        <v>0</v>
      </c>
      <c r="Q15" s="6" t="b">
        <v>0</v>
      </c>
      <c r="R15" s="6" t="b">
        <v>0</v>
      </c>
      <c r="S15" s="6" t="b">
        <v>0</v>
      </c>
      <c r="T15" s="6" t="b">
        <v>0</v>
      </c>
      <c r="U15" s="6" t="b">
        <v>0</v>
      </c>
      <c r="V15" s="6" t="b">
        <v>0</v>
      </c>
      <c r="W15" s="6" t="b">
        <v>0</v>
      </c>
      <c r="X15" s="6" t="b">
        <v>0</v>
      </c>
      <c r="Y15" s="6" t="b">
        <v>0</v>
      </c>
      <c r="Z15" s="6" t="b">
        <v>0</v>
      </c>
      <c r="AA15" s="6" t="b">
        <v>0</v>
      </c>
    </row>
    <row r="16" spans="1:27" x14ac:dyDescent="0.25">
      <c r="A16" s="3">
        <v>46317</v>
      </c>
      <c r="B16" s="3">
        <v>46320</v>
      </c>
      <c r="C16" s="4" t="s">
        <v>39</v>
      </c>
      <c r="D16" s="4" t="s">
        <v>40</v>
      </c>
      <c r="E16" s="4" t="str">
        <f t="shared" ca="1" si="0"/>
        <v>Em preparação</v>
      </c>
      <c r="F16" s="5">
        <f t="shared" si="1"/>
        <v>0</v>
      </c>
      <c r="G16" s="3">
        <f t="shared" si="2"/>
        <v>46310</v>
      </c>
      <c r="H16" s="4" t="str">
        <f t="shared" ca="1" si="3"/>
        <v/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</row>
    <row r="17" spans="1:27" x14ac:dyDescent="0.25">
      <c r="A17" s="3">
        <v>46320</v>
      </c>
      <c r="B17" s="3">
        <v>46323</v>
      </c>
      <c r="C17" s="4" t="s">
        <v>39</v>
      </c>
      <c r="D17" s="4" t="s">
        <v>40</v>
      </c>
      <c r="E17" s="4" t="str">
        <f t="shared" ca="1" si="0"/>
        <v>Em preparação</v>
      </c>
      <c r="F17" s="5">
        <f t="shared" si="1"/>
        <v>0</v>
      </c>
      <c r="G17" s="3">
        <f t="shared" si="2"/>
        <v>46313</v>
      </c>
      <c r="H17" s="4" t="str">
        <f t="shared" ca="1" si="3"/>
        <v/>
      </c>
      <c r="I17" s="6" t="b">
        <v>0</v>
      </c>
      <c r="J17" s="6" t="b">
        <v>0</v>
      </c>
      <c r="K17" s="6" t="b">
        <v>0</v>
      </c>
      <c r="L17" s="6" t="b">
        <v>0</v>
      </c>
      <c r="M17" s="6" t="b">
        <v>0</v>
      </c>
      <c r="N17" s="6" t="b">
        <v>0</v>
      </c>
      <c r="O17" s="6" t="b">
        <v>0</v>
      </c>
      <c r="P17" s="6" t="b">
        <v>0</v>
      </c>
      <c r="Q17" s="6" t="b">
        <v>0</v>
      </c>
      <c r="R17" s="6" t="b">
        <v>0</v>
      </c>
      <c r="S17" s="6" t="b">
        <v>0</v>
      </c>
      <c r="T17" s="6" t="b">
        <v>0</v>
      </c>
      <c r="U17" s="6" t="b">
        <v>0</v>
      </c>
      <c r="V17" s="6" t="b">
        <v>0</v>
      </c>
      <c r="W17" s="6" t="b">
        <v>0</v>
      </c>
      <c r="X17" s="6" t="b">
        <v>0</v>
      </c>
      <c r="Y17" s="6" t="b">
        <v>0</v>
      </c>
      <c r="Z17" s="6" t="b">
        <v>0</v>
      </c>
      <c r="AA17" s="6" t="b">
        <v>0</v>
      </c>
    </row>
    <row r="18" spans="1:27" x14ac:dyDescent="0.25">
      <c r="A18" s="3">
        <v>46321</v>
      </c>
      <c r="B18" s="3">
        <v>46324</v>
      </c>
      <c r="C18" s="4" t="s">
        <v>41</v>
      </c>
      <c r="D18" s="4" t="s">
        <v>42</v>
      </c>
      <c r="E18" s="4" t="str">
        <f t="shared" ca="1" si="0"/>
        <v>Em preparação</v>
      </c>
      <c r="F18" s="5">
        <f t="shared" si="1"/>
        <v>0</v>
      </c>
      <c r="G18" s="3">
        <f t="shared" si="2"/>
        <v>46314</v>
      </c>
      <c r="H18" s="4" t="str">
        <f t="shared" ca="1" si="3"/>
        <v/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0</v>
      </c>
      <c r="R18" s="6" t="b">
        <v>0</v>
      </c>
      <c r="S18" s="6" t="b">
        <v>0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</row>
    <row r="19" spans="1:27" x14ac:dyDescent="0.25">
      <c r="A19" s="3">
        <v>46322</v>
      </c>
      <c r="B19" s="3">
        <v>46324</v>
      </c>
      <c r="C19" s="4" t="s">
        <v>43</v>
      </c>
      <c r="D19" s="4" t="s">
        <v>30</v>
      </c>
      <c r="E19" s="4" t="str">
        <f t="shared" ca="1" si="0"/>
        <v>Em preparação</v>
      </c>
      <c r="F19" s="5">
        <f t="shared" si="1"/>
        <v>0</v>
      </c>
      <c r="G19" s="3">
        <f t="shared" si="2"/>
        <v>46315</v>
      </c>
      <c r="H19" s="4" t="str">
        <f t="shared" ca="1" si="3"/>
        <v/>
      </c>
      <c r="I19" s="6" t="b">
        <v>0</v>
      </c>
      <c r="J19" s="6" t="b">
        <v>0</v>
      </c>
      <c r="K19" s="6" t="b">
        <v>0</v>
      </c>
      <c r="L19" s="6" t="b">
        <v>0</v>
      </c>
      <c r="M19" s="6" t="b">
        <v>0</v>
      </c>
      <c r="N19" s="6" t="b">
        <v>0</v>
      </c>
      <c r="O19" s="6" t="b">
        <v>0</v>
      </c>
      <c r="P19" s="6" t="b">
        <v>0</v>
      </c>
      <c r="Q19" s="6" t="b">
        <v>0</v>
      </c>
      <c r="R19" s="6" t="b">
        <v>0</v>
      </c>
      <c r="S19" s="6" t="b">
        <v>0</v>
      </c>
      <c r="T19" s="6" t="b">
        <v>0</v>
      </c>
      <c r="U19" s="6" t="b">
        <v>0</v>
      </c>
      <c r="V19" s="6" t="b">
        <v>0</v>
      </c>
      <c r="W19" s="6" t="b">
        <v>0</v>
      </c>
      <c r="X19" s="6" t="b">
        <v>0</v>
      </c>
      <c r="Y19" s="6" t="b">
        <v>0</v>
      </c>
      <c r="Z19" s="6" t="b">
        <v>0</v>
      </c>
      <c r="AA19" s="6" t="b">
        <v>0</v>
      </c>
    </row>
    <row r="20" spans="1:27" x14ac:dyDescent="0.25">
      <c r="A20" s="3">
        <v>46324</v>
      </c>
      <c r="B20" s="3">
        <v>46326</v>
      </c>
      <c r="C20" s="4" t="s">
        <v>43</v>
      </c>
      <c r="D20" s="4" t="s">
        <v>30</v>
      </c>
      <c r="E20" s="4" t="str">
        <f t="shared" ca="1" si="0"/>
        <v>Em preparação</v>
      </c>
      <c r="F20" s="5">
        <f t="shared" si="1"/>
        <v>0</v>
      </c>
      <c r="G20" s="3">
        <f t="shared" si="2"/>
        <v>46317</v>
      </c>
      <c r="H20" s="4" t="str">
        <f t="shared" ca="1" si="3"/>
        <v/>
      </c>
      <c r="I20" s="6" t="b">
        <v>0</v>
      </c>
      <c r="J20" s="6" t="b">
        <v>0</v>
      </c>
      <c r="K20" s="6" t="b">
        <v>0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  <c r="Q20" s="6" t="b">
        <v>0</v>
      </c>
      <c r="R20" s="6" t="b">
        <v>0</v>
      </c>
      <c r="S20" s="6" t="b">
        <v>0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</row>
    <row r="21" spans="1:27" x14ac:dyDescent="0.25">
      <c r="A21" s="3">
        <v>46326</v>
      </c>
      <c r="B21" s="3">
        <v>46328</v>
      </c>
      <c r="C21" s="4" t="s">
        <v>43</v>
      </c>
      <c r="D21" s="4" t="s">
        <v>30</v>
      </c>
      <c r="E21" s="4" t="str">
        <f t="shared" ca="1" si="0"/>
        <v>Em preparação</v>
      </c>
      <c r="F21" s="5">
        <f t="shared" si="1"/>
        <v>0</v>
      </c>
      <c r="G21" s="3">
        <f t="shared" si="2"/>
        <v>46319</v>
      </c>
      <c r="H21" s="4" t="str">
        <f t="shared" ca="1" si="3"/>
        <v/>
      </c>
      <c r="I21" s="6" t="b">
        <v>0</v>
      </c>
      <c r="J21" s="6" t="b">
        <v>0</v>
      </c>
      <c r="K21" s="6" t="b">
        <v>0</v>
      </c>
      <c r="L21" s="6" t="b">
        <v>0</v>
      </c>
      <c r="M21" s="6" t="b">
        <v>0</v>
      </c>
      <c r="N21" s="6" t="b">
        <v>0</v>
      </c>
      <c r="O21" s="6" t="b">
        <v>0</v>
      </c>
      <c r="P21" s="6" t="b">
        <v>0</v>
      </c>
      <c r="Q21" s="6" t="b">
        <v>0</v>
      </c>
      <c r="R21" s="6" t="b">
        <v>0</v>
      </c>
      <c r="S21" s="6" t="b">
        <v>0</v>
      </c>
      <c r="T21" s="6" t="b">
        <v>0</v>
      </c>
      <c r="U21" s="6" t="b">
        <v>0</v>
      </c>
      <c r="V21" s="6" t="b">
        <v>0</v>
      </c>
      <c r="W21" s="6" t="b">
        <v>0</v>
      </c>
      <c r="X21" s="6" t="b">
        <v>0</v>
      </c>
      <c r="Y21" s="6" t="b">
        <v>0</v>
      </c>
      <c r="Z21" s="6" t="b">
        <v>0</v>
      </c>
      <c r="AA21" s="6" t="b">
        <v>0</v>
      </c>
    </row>
    <row r="22" spans="1:27" x14ac:dyDescent="0.25">
      <c r="A22" s="3">
        <v>46328</v>
      </c>
      <c r="B22" s="3">
        <v>46331</v>
      </c>
      <c r="C22" s="4" t="s">
        <v>29</v>
      </c>
      <c r="D22" s="4" t="s">
        <v>30</v>
      </c>
      <c r="E22" s="4" t="str">
        <f t="shared" ca="1" si="0"/>
        <v>Em preparação</v>
      </c>
      <c r="F22" s="5">
        <f t="shared" si="1"/>
        <v>0</v>
      </c>
      <c r="G22" s="3">
        <f t="shared" si="2"/>
        <v>46321</v>
      </c>
      <c r="H22" s="4" t="str">
        <f t="shared" ca="1" si="3"/>
        <v/>
      </c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</row>
    <row r="23" spans="1:27" x14ac:dyDescent="0.25">
      <c r="A23" s="3">
        <v>46329</v>
      </c>
      <c r="B23" s="3">
        <v>46332</v>
      </c>
      <c r="C23" s="4" t="s">
        <v>44</v>
      </c>
      <c r="D23" s="4" t="s">
        <v>45</v>
      </c>
      <c r="E23" s="4" t="str">
        <f t="shared" ca="1" si="0"/>
        <v>Em preparação</v>
      </c>
      <c r="F23" s="5">
        <f t="shared" si="1"/>
        <v>0</v>
      </c>
      <c r="G23" s="3">
        <f t="shared" si="2"/>
        <v>46322</v>
      </c>
      <c r="H23" s="4" t="str">
        <f t="shared" ca="1" si="3"/>
        <v/>
      </c>
      <c r="I23" s="6" t="b">
        <v>0</v>
      </c>
      <c r="J23" s="6" t="b">
        <v>0</v>
      </c>
      <c r="K23" s="6" t="b">
        <v>0</v>
      </c>
      <c r="L23" s="6" t="b">
        <v>0</v>
      </c>
      <c r="M23" s="6" t="b">
        <v>0</v>
      </c>
      <c r="N23" s="6" t="b">
        <v>0</v>
      </c>
      <c r="O23" s="6" t="b">
        <v>0</v>
      </c>
      <c r="P23" s="6" t="b">
        <v>0</v>
      </c>
      <c r="Q23" s="6" t="b">
        <v>0</v>
      </c>
      <c r="R23" s="6" t="b">
        <v>0</v>
      </c>
      <c r="S23" s="6" t="b">
        <v>0</v>
      </c>
      <c r="T23" s="6" t="b">
        <v>0</v>
      </c>
      <c r="U23" s="6" t="b">
        <v>0</v>
      </c>
      <c r="V23" s="6" t="b">
        <v>0</v>
      </c>
      <c r="W23" s="6" t="b">
        <v>0</v>
      </c>
      <c r="X23" s="6" t="b">
        <v>0</v>
      </c>
      <c r="Y23" s="6" t="b">
        <v>0</v>
      </c>
      <c r="Z23" s="6" t="b">
        <v>0</v>
      </c>
      <c r="AA23" s="6" t="b">
        <v>0</v>
      </c>
    </row>
    <row r="24" spans="1:27" x14ac:dyDescent="0.25">
      <c r="A24" s="3">
        <v>46329</v>
      </c>
      <c r="B24" s="3">
        <v>46332</v>
      </c>
      <c r="C24" s="4" t="s">
        <v>46</v>
      </c>
      <c r="D24" s="4" t="s">
        <v>47</v>
      </c>
      <c r="E24" s="4" t="str">
        <f t="shared" ca="1" si="0"/>
        <v>Em preparação</v>
      </c>
      <c r="F24" s="5">
        <f t="shared" si="1"/>
        <v>0</v>
      </c>
      <c r="G24" s="3">
        <f t="shared" si="2"/>
        <v>46322</v>
      </c>
      <c r="H24" s="4" t="str">
        <f t="shared" ca="1" si="3"/>
        <v/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</row>
    <row r="25" spans="1:27" x14ac:dyDescent="0.25">
      <c r="A25" s="3">
        <v>46331</v>
      </c>
      <c r="B25" s="3">
        <v>46334</v>
      </c>
      <c r="C25" s="4" t="s">
        <v>29</v>
      </c>
      <c r="D25" s="4" t="s">
        <v>30</v>
      </c>
      <c r="E25" s="4" t="str">
        <f t="shared" ca="1" si="0"/>
        <v>Em preparação</v>
      </c>
      <c r="F25" s="5">
        <f t="shared" si="1"/>
        <v>0</v>
      </c>
      <c r="G25" s="3">
        <f t="shared" si="2"/>
        <v>46324</v>
      </c>
      <c r="H25" s="4" t="str">
        <f t="shared" ca="1" si="3"/>
        <v/>
      </c>
      <c r="I25" s="6" t="b">
        <v>0</v>
      </c>
      <c r="J25" s="6" t="b">
        <v>0</v>
      </c>
      <c r="K25" s="6" t="b">
        <v>0</v>
      </c>
      <c r="L25" s="6" t="b">
        <v>0</v>
      </c>
      <c r="M25" s="6" t="b">
        <v>0</v>
      </c>
      <c r="N25" s="6" t="b">
        <v>0</v>
      </c>
      <c r="O25" s="6" t="b">
        <v>0</v>
      </c>
      <c r="P25" s="6" t="b">
        <v>0</v>
      </c>
      <c r="Q25" s="6" t="b">
        <v>0</v>
      </c>
      <c r="R25" s="6" t="b">
        <v>0</v>
      </c>
      <c r="S25" s="6" t="b">
        <v>0</v>
      </c>
      <c r="T25" s="6" t="b">
        <v>0</v>
      </c>
      <c r="U25" s="6" t="b">
        <v>0</v>
      </c>
      <c r="V25" s="6" t="b">
        <v>0</v>
      </c>
      <c r="W25" s="6" t="b">
        <v>0</v>
      </c>
      <c r="X25" s="6" t="b">
        <v>0</v>
      </c>
      <c r="Y25" s="6" t="b">
        <v>0</v>
      </c>
      <c r="Z25" s="6" t="b">
        <v>0</v>
      </c>
      <c r="AA25" s="6" t="b">
        <v>0</v>
      </c>
    </row>
    <row r="26" spans="1:27" x14ac:dyDescent="0.25">
      <c r="A26" s="3">
        <v>46332</v>
      </c>
      <c r="B26" s="3">
        <v>46335</v>
      </c>
      <c r="C26" s="4" t="s">
        <v>44</v>
      </c>
      <c r="D26" s="4" t="s">
        <v>45</v>
      </c>
      <c r="E26" s="4" t="str">
        <f t="shared" ca="1" si="0"/>
        <v>Em preparação</v>
      </c>
      <c r="F26" s="5">
        <f t="shared" si="1"/>
        <v>0</v>
      </c>
      <c r="G26" s="3">
        <f t="shared" si="2"/>
        <v>46325</v>
      </c>
      <c r="H26" s="4" t="str">
        <f t="shared" ca="1" si="3"/>
        <v/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</row>
    <row r="27" spans="1:27" x14ac:dyDescent="0.25">
      <c r="A27" s="3">
        <v>46334</v>
      </c>
      <c r="B27" s="3">
        <v>46337</v>
      </c>
      <c r="C27" s="4" t="s">
        <v>29</v>
      </c>
      <c r="D27" s="4" t="s">
        <v>30</v>
      </c>
      <c r="E27" s="4" t="str">
        <f t="shared" ca="1" si="0"/>
        <v>Em preparação</v>
      </c>
      <c r="F27" s="5">
        <f t="shared" si="1"/>
        <v>0</v>
      </c>
      <c r="G27" s="3">
        <f t="shared" si="2"/>
        <v>46327</v>
      </c>
      <c r="H27" s="4" t="str">
        <f t="shared" ca="1" si="3"/>
        <v/>
      </c>
      <c r="I27" s="6" t="b">
        <v>0</v>
      </c>
      <c r="J27" s="6" t="b">
        <v>0</v>
      </c>
      <c r="K27" s="6" t="b">
        <v>0</v>
      </c>
      <c r="L27" s="6" t="b">
        <v>0</v>
      </c>
      <c r="M27" s="6" t="b">
        <v>0</v>
      </c>
      <c r="N27" s="6" t="b">
        <v>0</v>
      </c>
      <c r="O27" s="6" t="b">
        <v>0</v>
      </c>
      <c r="P27" s="6" t="b">
        <v>0</v>
      </c>
      <c r="Q27" s="6" t="b">
        <v>0</v>
      </c>
      <c r="R27" s="6" t="b">
        <v>0</v>
      </c>
      <c r="S27" s="6" t="b">
        <v>0</v>
      </c>
      <c r="T27" s="6" t="b">
        <v>0</v>
      </c>
      <c r="U27" s="6" t="b">
        <v>0</v>
      </c>
      <c r="V27" s="6" t="b">
        <v>0</v>
      </c>
      <c r="W27" s="6" t="b">
        <v>0</v>
      </c>
      <c r="X27" s="6" t="b">
        <v>0</v>
      </c>
      <c r="Y27" s="6" t="b">
        <v>0</v>
      </c>
      <c r="Z27" s="6" t="b">
        <v>0</v>
      </c>
      <c r="AA27" s="6" t="b">
        <v>0</v>
      </c>
    </row>
    <row r="28" spans="1:27" x14ac:dyDescent="0.25">
      <c r="A28" s="3">
        <v>46336</v>
      </c>
      <c r="B28" s="3">
        <v>46339</v>
      </c>
      <c r="C28" s="4" t="s">
        <v>48</v>
      </c>
      <c r="D28" s="4" t="s">
        <v>49</v>
      </c>
      <c r="E28" s="4" t="str">
        <f t="shared" ca="1" si="0"/>
        <v>Em preparação</v>
      </c>
      <c r="F28" s="5">
        <f t="shared" si="1"/>
        <v>0</v>
      </c>
      <c r="G28" s="3">
        <f t="shared" si="2"/>
        <v>46329</v>
      </c>
      <c r="H28" s="4" t="str">
        <f t="shared" ca="1" si="3"/>
        <v/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</row>
    <row r="29" spans="1:27" x14ac:dyDescent="0.25">
      <c r="A29" s="3">
        <v>46337</v>
      </c>
      <c r="B29" s="3">
        <v>46340</v>
      </c>
      <c r="C29" s="4" t="s">
        <v>29</v>
      </c>
      <c r="D29" s="4" t="s">
        <v>30</v>
      </c>
      <c r="E29" s="4" t="str">
        <f t="shared" ca="1" si="0"/>
        <v>Em preparação</v>
      </c>
      <c r="F29" s="5">
        <f t="shared" si="1"/>
        <v>0</v>
      </c>
      <c r="G29" s="3">
        <f t="shared" si="2"/>
        <v>46330</v>
      </c>
      <c r="H29" s="4" t="str">
        <f t="shared" ca="1" si="3"/>
        <v/>
      </c>
      <c r="I29" s="6" t="b">
        <v>0</v>
      </c>
      <c r="J29" s="6" t="b">
        <v>0</v>
      </c>
      <c r="K29" s="6" t="b">
        <v>0</v>
      </c>
      <c r="L29" s="6" t="b">
        <v>0</v>
      </c>
      <c r="M29" s="6" t="b">
        <v>0</v>
      </c>
      <c r="N29" s="6" t="b">
        <v>0</v>
      </c>
      <c r="O29" s="6" t="b">
        <v>0</v>
      </c>
      <c r="P29" s="6" t="b">
        <v>0</v>
      </c>
      <c r="Q29" s="6" t="b">
        <v>0</v>
      </c>
      <c r="R29" s="6" t="b">
        <v>0</v>
      </c>
      <c r="S29" s="6" t="b">
        <v>0</v>
      </c>
      <c r="T29" s="6" t="b">
        <v>0</v>
      </c>
      <c r="U29" s="6" t="b">
        <v>0</v>
      </c>
      <c r="V29" s="6" t="b">
        <v>0</v>
      </c>
      <c r="W29" s="6" t="b">
        <v>0</v>
      </c>
      <c r="X29" s="6" t="b">
        <v>0</v>
      </c>
      <c r="Y29" s="6" t="b">
        <v>0</v>
      </c>
      <c r="Z29" s="6" t="b">
        <v>0</v>
      </c>
      <c r="AA29" s="6" t="b">
        <v>0</v>
      </c>
    </row>
    <row r="30" spans="1:27" x14ac:dyDescent="0.25">
      <c r="A30" s="3">
        <v>46340</v>
      </c>
      <c r="B30" s="3">
        <v>46343</v>
      </c>
      <c r="C30" s="4" t="s">
        <v>29</v>
      </c>
      <c r="D30" s="4" t="s">
        <v>30</v>
      </c>
      <c r="E30" s="4" t="str">
        <f t="shared" ca="1" si="0"/>
        <v>Em preparação</v>
      </c>
      <c r="F30" s="5">
        <f t="shared" si="1"/>
        <v>0</v>
      </c>
      <c r="G30" s="3">
        <f t="shared" si="2"/>
        <v>46333</v>
      </c>
      <c r="H30" s="4" t="str">
        <f t="shared" ca="1" si="3"/>
        <v/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</row>
    <row r="31" spans="1:27" x14ac:dyDescent="0.25">
      <c r="A31" s="3">
        <v>46349</v>
      </c>
      <c r="B31" s="3">
        <v>46351</v>
      </c>
      <c r="C31" s="4" t="s">
        <v>50</v>
      </c>
      <c r="D31" s="4" t="s">
        <v>51</v>
      </c>
      <c r="E31" s="4" t="str">
        <f t="shared" ca="1" si="0"/>
        <v>Em preparação</v>
      </c>
      <c r="F31" s="5">
        <f t="shared" si="1"/>
        <v>0</v>
      </c>
      <c r="G31" s="3">
        <f t="shared" si="2"/>
        <v>46342</v>
      </c>
      <c r="H31" s="4" t="str">
        <f t="shared" ca="1" si="3"/>
        <v/>
      </c>
      <c r="I31" s="6" t="b">
        <v>0</v>
      </c>
      <c r="J31" s="6" t="b">
        <v>0</v>
      </c>
      <c r="K31" s="6" t="b">
        <v>0</v>
      </c>
      <c r="L31" s="6" t="b">
        <v>0</v>
      </c>
      <c r="M31" s="6" t="b">
        <v>0</v>
      </c>
      <c r="N31" s="6" t="b">
        <v>0</v>
      </c>
      <c r="O31" s="6" t="b">
        <v>0</v>
      </c>
      <c r="P31" s="6" t="b">
        <v>0</v>
      </c>
      <c r="Q31" s="6" t="b">
        <v>0</v>
      </c>
      <c r="R31" s="6" t="b">
        <v>0</v>
      </c>
      <c r="S31" s="6" t="b">
        <v>0</v>
      </c>
      <c r="T31" s="6" t="b">
        <v>0</v>
      </c>
      <c r="U31" s="6" t="b">
        <v>0</v>
      </c>
      <c r="V31" s="6" t="b">
        <v>0</v>
      </c>
      <c r="W31" s="6" t="b">
        <v>0</v>
      </c>
      <c r="X31" s="6" t="b">
        <v>0</v>
      </c>
      <c r="Y31" s="6" t="b">
        <v>0</v>
      </c>
      <c r="Z31" s="6" t="b">
        <v>0</v>
      </c>
      <c r="AA31" s="6" t="b">
        <v>0</v>
      </c>
    </row>
    <row r="32" spans="1:27" x14ac:dyDescent="0.25">
      <c r="A32" s="3">
        <v>46349</v>
      </c>
      <c r="B32" s="3">
        <v>46351</v>
      </c>
      <c r="C32" s="4" t="s">
        <v>52</v>
      </c>
      <c r="D32" s="4" t="s">
        <v>52</v>
      </c>
      <c r="E32" s="4" t="str">
        <f t="shared" ca="1" si="0"/>
        <v>Em preparação</v>
      </c>
      <c r="F32" s="5">
        <f t="shared" si="1"/>
        <v>0</v>
      </c>
      <c r="G32" s="3">
        <f t="shared" si="2"/>
        <v>46342</v>
      </c>
      <c r="H32" s="4" t="str">
        <f t="shared" ca="1" si="3"/>
        <v/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0</v>
      </c>
      <c r="S32" s="6" t="b">
        <v>0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</row>
    <row r="33" spans="1:27" x14ac:dyDescent="0.25">
      <c r="A33" s="3">
        <v>46351</v>
      </c>
      <c r="B33" s="3">
        <v>46353</v>
      </c>
      <c r="C33" s="4" t="s">
        <v>52</v>
      </c>
      <c r="D33" s="4" t="s">
        <v>52</v>
      </c>
      <c r="E33" s="4" t="str">
        <f t="shared" ca="1" si="0"/>
        <v>Em preparação</v>
      </c>
      <c r="F33" s="5">
        <f t="shared" si="1"/>
        <v>0</v>
      </c>
      <c r="G33" s="3">
        <f t="shared" si="2"/>
        <v>46344</v>
      </c>
      <c r="H33" s="4" t="str">
        <f t="shared" ca="1" si="3"/>
        <v/>
      </c>
      <c r="I33" s="6" t="b">
        <v>0</v>
      </c>
      <c r="J33" s="6" t="b">
        <v>0</v>
      </c>
      <c r="K33" s="6" t="b">
        <v>0</v>
      </c>
      <c r="L33" s="6" t="b">
        <v>0</v>
      </c>
      <c r="M33" s="6" t="b">
        <v>0</v>
      </c>
      <c r="N33" s="6" t="b">
        <v>0</v>
      </c>
      <c r="O33" s="6" t="b">
        <v>0</v>
      </c>
      <c r="P33" s="6" t="b">
        <v>0</v>
      </c>
      <c r="Q33" s="6" t="b">
        <v>0</v>
      </c>
      <c r="R33" s="6" t="b">
        <v>0</v>
      </c>
      <c r="S33" s="6" t="b">
        <v>0</v>
      </c>
      <c r="T33" s="6" t="b">
        <v>0</v>
      </c>
      <c r="U33" s="6" t="b">
        <v>0</v>
      </c>
      <c r="V33" s="6" t="b">
        <v>0</v>
      </c>
      <c r="W33" s="6" t="b">
        <v>0</v>
      </c>
      <c r="X33" s="6" t="b">
        <v>0</v>
      </c>
      <c r="Y33" s="6" t="b">
        <v>0</v>
      </c>
      <c r="Z33" s="6" t="b">
        <v>0</v>
      </c>
      <c r="AA33" s="6" t="b">
        <v>0</v>
      </c>
    </row>
    <row r="34" spans="1:27" x14ac:dyDescent="0.25">
      <c r="A34" s="3">
        <v>46356</v>
      </c>
      <c r="B34" s="3">
        <v>46358</v>
      </c>
      <c r="C34" s="4" t="s">
        <v>43</v>
      </c>
      <c r="D34" s="4" t="s">
        <v>30</v>
      </c>
      <c r="E34" s="4" t="str">
        <f t="shared" ca="1" si="0"/>
        <v>Em preparação</v>
      </c>
      <c r="F34" s="5">
        <f t="shared" si="1"/>
        <v>0</v>
      </c>
      <c r="G34" s="3">
        <f t="shared" si="2"/>
        <v>46349</v>
      </c>
      <c r="H34" s="4" t="str">
        <f t="shared" ca="1" si="3"/>
        <v/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</row>
    <row r="35" spans="1:27" x14ac:dyDescent="0.25">
      <c r="A35" s="3">
        <v>46356</v>
      </c>
      <c r="B35" s="3">
        <v>46359</v>
      </c>
      <c r="C35" s="4" t="s">
        <v>33</v>
      </c>
      <c r="D35" s="4" t="s">
        <v>34</v>
      </c>
      <c r="E35" s="4" t="str">
        <f t="shared" ca="1" si="0"/>
        <v>Em preparação</v>
      </c>
      <c r="F35" s="5">
        <f t="shared" si="1"/>
        <v>0</v>
      </c>
      <c r="G35" s="3">
        <f t="shared" si="2"/>
        <v>46349</v>
      </c>
      <c r="H35" s="4" t="str">
        <f t="shared" ca="1" si="3"/>
        <v/>
      </c>
      <c r="I35" s="6" t="b">
        <v>0</v>
      </c>
      <c r="J35" s="6" t="b">
        <v>0</v>
      </c>
      <c r="K35" s="6" t="b">
        <v>0</v>
      </c>
      <c r="L35" s="6" t="b">
        <v>0</v>
      </c>
      <c r="M35" s="6" t="b">
        <v>0</v>
      </c>
      <c r="N35" s="6" t="b">
        <v>0</v>
      </c>
      <c r="O35" s="6" t="b">
        <v>0</v>
      </c>
      <c r="P35" s="6" t="b">
        <v>0</v>
      </c>
      <c r="Q35" s="6" t="b">
        <v>0</v>
      </c>
      <c r="R35" s="6" t="b">
        <v>0</v>
      </c>
      <c r="S35" s="6" t="b">
        <v>0</v>
      </c>
      <c r="T35" s="6" t="b">
        <v>0</v>
      </c>
      <c r="U35" s="6" t="b">
        <v>0</v>
      </c>
      <c r="V35" s="6" t="b">
        <v>0</v>
      </c>
      <c r="W35" s="6" t="b">
        <v>0</v>
      </c>
      <c r="X35" s="6" t="b">
        <v>0</v>
      </c>
      <c r="Y35" s="6" t="b">
        <v>0</v>
      </c>
      <c r="Z35" s="6" t="b">
        <v>0</v>
      </c>
      <c r="AA35" s="6" t="b">
        <v>0</v>
      </c>
    </row>
    <row r="36" spans="1:27" x14ac:dyDescent="0.25">
      <c r="A36" s="3">
        <v>46358</v>
      </c>
      <c r="B36" s="3">
        <v>46360</v>
      </c>
      <c r="C36" s="4" t="s">
        <v>43</v>
      </c>
      <c r="D36" s="4" t="s">
        <v>30</v>
      </c>
      <c r="E36" s="4" t="str">
        <f t="shared" ca="1" si="0"/>
        <v>Em preparação</v>
      </c>
      <c r="F36" s="5">
        <f t="shared" si="1"/>
        <v>0</v>
      </c>
      <c r="G36" s="3">
        <f t="shared" si="2"/>
        <v>46351</v>
      </c>
      <c r="H36" s="4" t="str">
        <f t="shared" ca="1" si="3"/>
        <v/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</row>
    <row r="37" spans="1:27" x14ac:dyDescent="0.25">
      <c r="A37" s="3">
        <v>46360</v>
      </c>
      <c r="B37" s="3">
        <v>46362</v>
      </c>
      <c r="C37" s="4" t="s">
        <v>43</v>
      </c>
      <c r="D37" s="4" t="s">
        <v>30</v>
      </c>
      <c r="E37" s="4" t="str">
        <f t="shared" ca="1" si="0"/>
        <v>Em preparação</v>
      </c>
      <c r="F37" s="5">
        <f t="shared" si="1"/>
        <v>0</v>
      </c>
      <c r="G37" s="3">
        <f t="shared" si="2"/>
        <v>46353</v>
      </c>
      <c r="H37" s="4" t="str">
        <f t="shared" ca="1" si="3"/>
        <v/>
      </c>
      <c r="I37" s="6" t="b">
        <v>0</v>
      </c>
      <c r="J37" s="6" t="b">
        <v>0</v>
      </c>
      <c r="K37" s="6" t="b">
        <v>0</v>
      </c>
      <c r="L37" s="6" t="b">
        <v>0</v>
      </c>
      <c r="M37" s="6" t="b">
        <v>0</v>
      </c>
      <c r="N37" s="6" t="b">
        <v>0</v>
      </c>
      <c r="O37" s="6" t="b">
        <v>0</v>
      </c>
      <c r="P37" s="6" t="b">
        <v>0</v>
      </c>
      <c r="Q37" s="6" t="b">
        <v>0</v>
      </c>
      <c r="R37" s="6" t="b">
        <v>0</v>
      </c>
      <c r="S37" s="6" t="b">
        <v>0</v>
      </c>
      <c r="T37" s="6" t="b">
        <v>0</v>
      </c>
      <c r="U37" s="6" t="b">
        <v>0</v>
      </c>
      <c r="V37" s="6" t="b">
        <v>0</v>
      </c>
      <c r="W37" s="6" t="b">
        <v>0</v>
      </c>
      <c r="X37" s="6" t="b">
        <v>0</v>
      </c>
      <c r="Y37" s="6" t="b">
        <v>0</v>
      </c>
      <c r="Z37" s="6" t="b">
        <v>0</v>
      </c>
      <c r="AA37" s="6" t="b">
        <v>0</v>
      </c>
    </row>
    <row r="38" spans="1:27" x14ac:dyDescent="0.25">
      <c r="A38" s="3">
        <v>46362</v>
      </c>
      <c r="B38" s="3">
        <v>46365</v>
      </c>
      <c r="C38" s="4" t="s">
        <v>29</v>
      </c>
      <c r="D38" s="4" t="s">
        <v>30</v>
      </c>
      <c r="E38" s="4" t="str">
        <f t="shared" ca="1" si="0"/>
        <v>Em preparação</v>
      </c>
      <c r="F38" s="5">
        <f t="shared" si="1"/>
        <v>0</v>
      </c>
      <c r="G38" s="3">
        <f t="shared" si="2"/>
        <v>46355</v>
      </c>
      <c r="H38" s="4" t="str">
        <f t="shared" ca="1" si="3"/>
        <v/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0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</row>
    <row r="39" spans="1:27" x14ac:dyDescent="0.25">
      <c r="A39" s="3">
        <v>46363</v>
      </c>
      <c r="B39" s="3">
        <v>46366</v>
      </c>
      <c r="C39" s="4" t="s">
        <v>41</v>
      </c>
      <c r="D39" s="4" t="s">
        <v>42</v>
      </c>
      <c r="E39" s="4" t="str">
        <f t="shared" ca="1" si="0"/>
        <v>Em preparação</v>
      </c>
      <c r="F39" s="5">
        <f t="shared" si="1"/>
        <v>0</v>
      </c>
      <c r="G39" s="3">
        <f t="shared" si="2"/>
        <v>46356</v>
      </c>
      <c r="H39" s="4" t="str">
        <f t="shared" ca="1" si="3"/>
        <v/>
      </c>
      <c r="I39" s="6" t="b">
        <v>0</v>
      </c>
      <c r="J39" s="6" t="b">
        <v>0</v>
      </c>
      <c r="K39" s="6" t="b">
        <v>0</v>
      </c>
      <c r="L39" s="6" t="b">
        <v>0</v>
      </c>
      <c r="M39" s="6" t="b">
        <v>0</v>
      </c>
      <c r="N39" s="6" t="b">
        <v>0</v>
      </c>
      <c r="O39" s="6" t="b">
        <v>0</v>
      </c>
      <c r="P39" s="6" t="b">
        <v>0</v>
      </c>
      <c r="Q39" s="6" t="b">
        <v>0</v>
      </c>
      <c r="R39" s="6" t="b">
        <v>0</v>
      </c>
      <c r="S39" s="6" t="b">
        <v>0</v>
      </c>
      <c r="T39" s="6" t="b">
        <v>0</v>
      </c>
      <c r="U39" s="6" t="b">
        <v>0</v>
      </c>
      <c r="V39" s="6" t="b">
        <v>0</v>
      </c>
      <c r="W39" s="6" t="b">
        <v>0</v>
      </c>
      <c r="X39" s="6" t="b">
        <v>0</v>
      </c>
      <c r="Y39" s="6" t="b">
        <v>0</v>
      </c>
      <c r="Z39" s="6" t="b">
        <v>0</v>
      </c>
      <c r="AA39" s="6" t="b">
        <v>0</v>
      </c>
    </row>
    <row r="40" spans="1:27" x14ac:dyDescent="0.25">
      <c r="A40" s="3">
        <v>46364</v>
      </c>
      <c r="B40" s="3">
        <v>46369</v>
      </c>
      <c r="C40" s="4" t="s">
        <v>53</v>
      </c>
      <c r="D40" s="4" t="s">
        <v>53</v>
      </c>
      <c r="E40" s="4" t="str">
        <f t="shared" ca="1" si="0"/>
        <v>Em preparação</v>
      </c>
      <c r="F40" s="5">
        <f t="shared" si="1"/>
        <v>0</v>
      </c>
      <c r="G40" s="3">
        <f t="shared" si="2"/>
        <v>46357</v>
      </c>
      <c r="H40" s="4" t="str">
        <f t="shared" ca="1" si="3"/>
        <v/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 t="b">
        <v>0</v>
      </c>
      <c r="S40" s="6" t="b">
        <v>0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</row>
    <row r="41" spans="1:27" x14ac:dyDescent="0.25">
      <c r="A41" s="3">
        <v>46365</v>
      </c>
      <c r="B41" s="3">
        <v>46368</v>
      </c>
      <c r="C41" s="4" t="s">
        <v>29</v>
      </c>
      <c r="D41" s="4" t="s">
        <v>30</v>
      </c>
      <c r="E41" s="4" t="str">
        <f t="shared" ca="1" si="0"/>
        <v>Em preparação</v>
      </c>
      <c r="F41" s="5">
        <f t="shared" si="1"/>
        <v>0</v>
      </c>
      <c r="G41" s="3">
        <f t="shared" si="2"/>
        <v>46358</v>
      </c>
      <c r="H41" s="4" t="str">
        <f t="shared" ca="1" si="3"/>
        <v/>
      </c>
      <c r="I41" s="6" t="b">
        <v>0</v>
      </c>
      <c r="J41" s="6" t="b">
        <v>0</v>
      </c>
      <c r="K41" s="6" t="b">
        <v>0</v>
      </c>
      <c r="L41" s="6" t="b">
        <v>0</v>
      </c>
      <c r="M41" s="6" t="b">
        <v>0</v>
      </c>
      <c r="N41" s="6" t="b">
        <v>0</v>
      </c>
      <c r="O41" s="6" t="b">
        <v>0</v>
      </c>
      <c r="P41" s="6" t="b">
        <v>0</v>
      </c>
      <c r="Q41" s="6" t="b">
        <v>0</v>
      </c>
      <c r="R41" s="6" t="b">
        <v>0</v>
      </c>
      <c r="S41" s="6" t="b">
        <v>0</v>
      </c>
      <c r="T41" s="6" t="b">
        <v>0</v>
      </c>
      <c r="U41" s="6" t="b">
        <v>0</v>
      </c>
      <c r="V41" s="6" t="b">
        <v>0</v>
      </c>
      <c r="W41" s="6" t="b">
        <v>0</v>
      </c>
      <c r="X41" s="6" t="b">
        <v>0</v>
      </c>
      <c r="Y41" s="6" t="b">
        <v>0</v>
      </c>
      <c r="Z41" s="6" t="b">
        <v>0</v>
      </c>
      <c r="AA41" s="6" t="b">
        <v>0</v>
      </c>
    </row>
    <row r="42" spans="1:27" x14ac:dyDescent="0.25">
      <c r="A42" s="3">
        <v>46368</v>
      </c>
      <c r="B42" s="3">
        <v>46371</v>
      </c>
      <c r="C42" s="4" t="s">
        <v>29</v>
      </c>
      <c r="D42" s="4" t="s">
        <v>30</v>
      </c>
      <c r="E42" s="4" t="str">
        <f t="shared" ca="1" si="0"/>
        <v>Em preparação</v>
      </c>
      <c r="F42" s="5">
        <f t="shared" si="1"/>
        <v>0</v>
      </c>
      <c r="G42" s="3">
        <f t="shared" si="2"/>
        <v>46361</v>
      </c>
      <c r="H42" s="4" t="str">
        <f t="shared" ca="1" si="3"/>
        <v/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</row>
    <row r="43" spans="1:27" x14ac:dyDescent="0.25">
      <c r="A43" s="3">
        <v>46369</v>
      </c>
      <c r="B43" s="3">
        <v>46372</v>
      </c>
      <c r="C43" s="4" t="s">
        <v>33</v>
      </c>
      <c r="D43" s="4" t="s">
        <v>34</v>
      </c>
      <c r="E43" s="4" t="str">
        <f t="shared" ca="1" si="0"/>
        <v>Em preparação</v>
      </c>
      <c r="F43" s="5">
        <f t="shared" si="1"/>
        <v>0</v>
      </c>
      <c r="G43" s="3">
        <f t="shared" si="2"/>
        <v>46362</v>
      </c>
      <c r="H43" s="4" t="str">
        <f t="shared" ca="1" si="3"/>
        <v/>
      </c>
      <c r="I43" s="6" t="b">
        <v>0</v>
      </c>
      <c r="J43" s="6" t="b">
        <v>0</v>
      </c>
      <c r="K43" s="6" t="b">
        <v>0</v>
      </c>
      <c r="L43" s="6" t="b">
        <v>0</v>
      </c>
      <c r="M43" s="6" t="b">
        <v>0</v>
      </c>
      <c r="N43" s="6" t="b">
        <v>0</v>
      </c>
      <c r="O43" s="6" t="b">
        <v>0</v>
      </c>
      <c r="P43" s="6" t="b">
        <v>0</v>
      </c>
      <c r="Q43" s="6" t="b">
        <v>0</v>
      </c>
      <c r="R43" s="6" t="b">
        <v>0</v>
      </c>
      <c r="S43" s="6" t="b">
        <v>0</v>
      </c>
      <c r="T43" s="6" t="b">
        <v>0</v>
      </c>
      <c r="U43" s="6" t="b">
        <v>0</v>
      </c>
      <c r="V43" s="6" t="b">
        <v>0</v>
      </c>
      <c r="W43" s="6" t="b">
        <v>0</v>
      </c>
      <c r="X43" s="6" t="b">
        <v>0</v>
      </c>
      <c r="Y43" s="6" t="b">
        <v>0</v>
      </c>
      <c r="Z43" s="6" t="b">
        <v>0</v>
      </c>
      <c r="AA43" s="6" t="b">
        <v>0</v>
      </c>
    </row>
    <row r="44" spans="1:27" x14ac:dyDescent="0.25">
      <c r="A44" s="3">
        <v>46370</v>
      </c>
      <c r="B44" s="3">
        <v>46373</v>
      </c>
      <c r="C44" s="4" t="s">
        <v>46</v>
      </c>
      <c r="D44" s="4" t="s">
        <v>47</v>
      </c>
      <c r="E44" s="4" t="str">
        <f t="shared" ca="1" si="0"/>
        <v>Em preparação</v>
      </c>
      <c r="F44" s="5">
        <f t="shared" si="1"/>
        <v>0</v>
      </c>
      <c r="G44" s="3">
        <f t="shared" si="2"/>
        <v>46363</v>
      </c>
      <c r="H44" s="4" t="str">
        <f t="shared" ca="1" si="3"/>
        <v/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</row>
    <row r="45" spans="1:27" x14ac:dyDescent="0.25">
      <c r="A45" s="3">
        <v>46371</v>
      </c>
      <c r="B45" s="3">
        <v>46374</v>
      </c>
      <c r="C45" s="4" t="s">
        <v>29</v>
      </c>
      <c r="D45" s="4" t="s">
        <v>30</v>
      </c>
      <c r="E45" s="4" t="str">
        <f t="shared" ca="1" si="0"/>
        <v>Em preparação</v>
      </c>
      <c r="F45" s="5">
        <f t="shared" si="1"/>
        <v>0</v>
      </c>
      <c r="G45" s="3">
        <f t="shared" si="2"/>
        <v>46364</v>
      </c>
      <c r="H45" s="4" t="str">
        <f t="shared" ca="1" si="3"/>
        <v/>
      </c>
      <c r="I45" s="6" t="b">
        <v>0</v>
      </c>
      <c r="J45" s="6" t="b">
        <v>0</v>
      </c>
      <c r="K45" s="6" t="b">
        <v>0</v>
      </c>
      <c r="L45" s="6" t="b">
        <v>0</v>
      </c>
      <c r="M45" s="6" t="b">
        <v>0</v>
      </c>
      <c r="N45" s="6" t="b">
        <v>0</v>
      </c>
      <c r="O45" s="6" t="b">
        <v>0</v>
      </c>
      <c r="P45" s="6" t="b">
        <v>0</v>
      </c>
      <c r="Q45" s="6" t="b">
        <v>0</v>
      </c>
      <c r="R45" s="6" t="b">
        <v>0</v>
      </c>
      <c r="S45" s="6" t="b">
        <v>0</v>
      </c>
      <c r="T45" s="6" t="b">
        <v>0</v>
      </c>
      <c r="U45" s="6" t="b">
        <v>0</v>
      </c>
      <c r="V45" s="6" t="b">
        <v>0</v>
      </c>
      <c r="W45" s="6" t="b">
        <v>0</v>
      </c>
      <c r="X45" s="6" t="b">
        <v>0</v>
      </c>
      <c r="Y45" s="6" t="b">
        <v>0</v>
      </c>
      <c r="Z45" s="6" t="b">
        <v>0</v>
      </c>
      <c r="AA45" s="6" t="b">
        <v>0</v>
      </c>
    </row>
    <row r="46" spans="1:27" x14ac:dyDescent="0.25">
      <c r="A46" s="3">
        <v>46371</v>
      </c>
      <c r="B46" s="3">
        <v>46374</v>
      </c>
      <c r="C46" s="4" t="s">
        <v>54</v>
      </c>
      <c r="D46" s="4" t="s">
        <v>55</v>
      </c>
      <c r="E46" s="4" t="str">
        <f t="shared" ca="1" si="0"/>
        <v>Em preparação</v>
      </c>
      <c r="F46" s="5">
        <f t="shared" si="1"/>
        <v>0</v>
      </c>
      <c r="G46" s="3">
        <f t="shared" si="2"/>
        <v>46364</v>
      </c>
      <c r="H46" s="4" t="str">
        <f t="shared" ca="1" si="3"/>
        <v/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</row>
    <row r="47" spans="1:27" x14ac:dyDescent="0.25">
      <c r="A47" s="3">
        <v>46373</v>
      </c>
      <c r="B47" s="3">
        <v>46376</v>
      </c>
      <c r="C47" s="4" t="s">
        <v>39</v>
      </c>
      <c r="D47" s="4" t="s">
        <v>40</v>
      </c>
      <c r="E47" s="4" t="str">
        <f t="shared" ca="1" si="0"/>
        <v>Em preparação</v>
      </c>
      <c r="F47" s="5">
        <f t="shared" si="1"/>
        <v>0</v>
      </c>
      <c r="G47" s="3">
        <f t="shared" si="2"/>
        <v>46366</v>
      </c>
      <c r="H47" s="4" t="str">
        <f t="shared" ca="1" si="3"/>
        <v/>
      </c>
      <c r="I47" s="6" t="b">
        <v>0</v>
      </c>
      <c r="J47" s="6" t="b">
        <v>0</v>
      </c>
      <c r="K47" s="6" t="b">
        <v>0</v>
      </c>
      <c r="L47" s="6" t="b">
        <v>0</v>
      </c>
      <c r="M47" s="6" t="b">
        <v>0</v>
      </c>
      <c r="N47" s="6" t="b">
        <v>0</v>
      </c>
      <c r="O47" s="6" t="b">
        <v>0</v>
      </c>
      <c r="P47" s="6" t="b">
        <v>0</v>
      </c>
      <c r="Q47" s="6" t="b">
        <v>0</v>
      </c>
      <c r="R47" s="6" t="b">
        <v>0</v>
      </c>
      <c r="S47" s="6" t="b">
        <v>0</v>
      </c>
      <c r="T47" s="6" t="b">
        <v>0</v>
      </c>
      <c r="U47" s="6" t="b">
        <v>0</v>
      </c>
      <c r="V47" s="6" t="b">
        <v>0</v>
      </c>
      <c r="W47" s="6" t="b">
        <v>0</v>
      </c>
      <c r="X47" s="6" t="b">
        <v>0</v>
      </c>
      <c r="Y47" s="6" t="b">
        <v>0</v>
      </c>
      <c r="Z47" s="6" t="b">
        <v>0</v>
      </c>
      <c r="AA47" s="6" t="b">
        <v>0</v>
      </c>
    </row>
  </sheetData>
  <autoFilter ref="A1:AA47" xr:uid="{00000000-0009-0000-0000-000000000000}"/>
  <conditionalFormatting sqref="E2:E47">
    <cfRule type="cellIs" dxfId="7" priority="6" operator="equal">
      <formula>"Concluída"</formula>
    </cfRule>
    <cfRule type="cellIs" dxfId="6" priority="8" operator="equal">
      <formula>"Atrasada"</formula>
    </cfRule>
  </conditionalFormatting>
  <conditionalFormatting sqref="F2:F47">
    <cfRule type="dataBar" priority="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{3970885C-2631-4A9D-97C7-02AFBA7AEC6A}</x14:id>
        </ext>
      </extLst>
    </cfRule>
  </conditionalFormatting>
  <conditionalFormatting sqref="H2:H47">
    <cfRule type="expression" dxfId="5" priority="3">
      <formula>ISNUMBER(SEARCH("ATRASADO",H2))</formula>
    </cfRule>
    <cfRule type="expression" dxfId="4" priority="4">
      <formula>ISNUMBER(SEARCH("dias",H2))</formula>
    </cfRule>
  </conditionalFormatting>
  <conditionalFormatting sqref="I2:AA47">
    <cfRule type="cellIs" dxfId="3" priority="1" operator="equal">
      <formula>TRUE</formula>
    </cfRule>
    <cfRule type="cellIs" dxfId="2" priority="2" operator="equal">
      <formula>FALSE</formula>
    </cfRule>
  </conditionalFormatting>
  <conditionalFormatting sqref="T2:T47">
    <cfRule type="expression" dxfId="1" priority="7">
      <formula>T2=FALSE</formula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70885C-2631-4A9D-97C7-02AFBA7AEC6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F2:F47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1" customWidth="1"/>
    <col min="2" max="2" width="16" customWidth="1"/>
    <col min="3" max="3" width="26" customWidth="1"/>
    <col min="4" max="4" width="7" customWidth="1"/>
    <col min="5" max="5" width="16" customWidth="1"/>
    <col min="6" max="6" width="19" customWidth="1"/>
    <col min="7" max="7" width="21" customWidth="1"/>
    <col min="8" max="8" width="26" customWidth="1"/>
    <col min="9" max="9" width="12" customWidth="1"/>
  </cols>
  <sheetData>
    <row r="1" spans="1:11" ht="18" x14ac:dyDescent="0.25">
      <c r="A1" s="7" t="s">
        <v>56</v>
      </c>
    </row>
    <row r="2" spans="1:11" x14ac:dyDescent="0.25">
      <c r="A2" s="8" t="s">
        <v>57</v>
      </c>
    </row>
    <row r="4" spans="1:11" x14ac:dyDescent="0.25">
      <c r="A4" s="9" t="s">
        <v>58</v>
      </c>
      <c r="C4" s="9" t="s">
        <v>59</v>
      </c>
      <c r="E4" s="9" t="s">
        <v>60</v>
      </c>
      <c r="G4" s="9" t="s">
        <v>61</v>
      </c>
    </row>
    <row r="5" spans="1:11" ht="26.25" x14ac:dyDescent="0.4">
      <c r="A5" s="10">
        <f>COUNTA(OPERAÇÕES!C2:C47)</f>
        <v>46</v>
      </c>
      <c r="C5" s="11">
        <f ca="1">COUNTIF(OPERAÇÕES!H2:H47,"VOUCHER ATRASADO")</f>
        <v>0</v>
      </c>
      <c r="E5" s="12">
        <f ca="1">COUNTIF(OPERAÇÕES!H2:H47,"Voucher em*")</f>
        <v>0</v>
      </c>
      <c r="G5" s="13">
        <f ca="1">COUNTIF(OPERAÇÕES!E2:E47,"Concluída")</f>
        <v>0</v>
      </c>
    </row>
    <row r="7" spans="1:11" ht="15.75" x14ac:dyDescent="0.25">
      <c r="A7" s="14" t="s">
        <v>62</v>
      </c>
      <c r="H7" s="14" t="s">
        <v>63</v>
      </c>
    </row>
    <row r="8" spans="1:11" x14ac:dyDescent="0.25">
      <c r="A8" s="15" t="s">
        <v>2</v>
      </c>
      <c r="B8" s="15" t="s">
        <v>64</v>
      </c>
      <c r="C8" s="15" t="s">
        <v>65</v>
      </c>
      <c r="D8" s="15" t="s">
        <v>66</v>
      </c>
      <c r="E8" s="15" t="s">
        <v>4</v>
      </c>
      <c r="F8" s="15" t="s">
        <v>7</v>
      </c>
      <c r="H8" s="15" t="s">
        <v>67</v>
      </c>
      <c r="I8" s="15" t="s">
        <v>68</v>
      </c>
      <c r="J8" s="15" t="s">
        <v>69</v>
      </c>
      <c r="K8" s="15" t="s">
        <v>70</v>
      </c>
    </row>
    <row r="9" spans="1:11" x14ac:dyDescent="0.25">
      <c r="A9" s="4" t="str">
        <f>OPERAÇÕES!C2</f>
        <v>ALEXÂNIA</v>
      </c>
      <c r="B9" s="4" t="str">
        <f>TEXT(OPERAÇÕES!A2,"DD/MM")&amp;" a "&amp;TEXT(OPERAÇÕES!B2,"DD/MM")</f>
        <v>29/09 a 02/10</v>
      </c>
      <c r="C9" s="16" t="str">
        <f>REPT("■",ROUND(OPERAÇÕES!F2*20,0))&amp;REPT("·",20-ROUND(OPERAÇÕES!F2*20,0))</f>
        <v>····················</v>
      </c>
      <c r="D9" s="5">
        <f>OPERAÇÕES!F2</f>
        <v>0</v>
      </c>
      <c r="E9" s="4" t="str">
        <f ca="1">OPERAÇÕES!E2</f>
        <v>Em preparação</v>
      </c>
      <c r="F9" s="4" t="str">
        <f ca="1">OPERAÇÕES!H2</f>
        <v/>
      </c>
      <c r="H9" s="4" t="s">
        <v>8</v>
      </c>
      <c r="I9" s="4" t="s">
        <v>71</v>
      </c>
      <c r="J9" s="4">
        <f>SUMPRODUCT(--(OPERAÇÕES!I2:I47=TRUE))</f>
        <v>0</v>
      </c>
      <c r="K9" s="4">
        <f>COUNTA(OPERAÇÕES!$C$2:$C$47)-J9</f>
        <v>46</v>
      </c>
    </row>
    <row r="10" spans="1:11" x14ac:dyDescent="0.25">
      <c r="A10" s="4" t="str">
        <f>OPERAÇÕES!C3</f>
        <v>CAMP SP</v>
      </c>
      <c r="B10" s="4" t="str">
        <f>TEXT(OPERAÇÕES!A3,"DD/MM")&amp;" a "&amp;TEXT(OPERAÇÕES!B3,"DD/MM")</f>
        <v>01/10 a 04/10</v>
      </c>
      <c r="C10" s="16" t="str">
        <f>REPT("■",ROUND(OPERAÇÕES!F3*20,0))&amp;REPT("·",20-ROUND(OPERAÇÕES!F3*20,0))</f>
        <v>····················</v>
      </c>
      <c r="D10" s="5">
        <f>OPERAÇÕES!F3</f>
        <v>0</v>
      </c>
      <c r="E10" s="4" t="str">
        <f ca="1">OPERAÇÕES!E3</f>
        <v>Em preparação</v>
      </c>
      <c r="F10" s="4" t="str">
        <f ca="1">OPERAÇÕES!H3</f>
        <v/>
      </c>
      <c r="H10" s="4" t="s">
        <v>9</v>
      </c>
      <c r="I10" s="4" t="s">
        <v>71</v>
      </c>
      <c r="J10" s="4">
        <f>SUMPRODUCT(--(OPERAÇÕES!J2:J47=TRUE))</f>
        <v>0</v>
      </c>
      <c r="K10" s="4">
        <f>COUNTA(OPERAÇÕES!$C$2:$C$47)-J10</f>
        <v>46</v>
      </c>
    </row>
    <row r="11" spans="1:11" x14ac:dyDescent="0.25">
      <c r="A11" s="4" t="str">
        <f>OPERAÇÕES!C4</f>
        <v>CAMP SP</v>
      </c>
      <c r="B11" s="4" t="str">
        <f>TEXT(OPERAÇÕES!A4,"DD/MM")&amp;" a "&amp;TEXT(OPERAÇÕES!B4,"DD/MM")</f>
        <v>04/10 a 07/10</v>
      </c>
      <c r="C11" s="16" t="str">
        <f>REPT("■",ROUND(OPERAÇÕES!F4*20,0))&amp;REPT("·",20-ROUND(OPERAÇÕES!F4*20,0))</f>
        <v>····················</v>
      </c>
      <c r="D11" s="5">
        <f>OPERAÇÕES!F4</f>
        <v>0</v>
      </c>
      <c r="E11" s="4" t="str">
        <f ca="1">OPERAÇÕES!E4</f>
        <v>Em preparação</v>
      </c>
      <c r="F11" s="4" t="str">
        <f ca="1">OPERAÇÕES!H4</f>
        <v/>
      </c>
      <c r="H11" s="4" t="s">
        <v>10</v>
      </c>
      <c r="I11" s="4" t="s">
        <v>71</v>
      </c>
      <c r="J11" s="4">
        <f>SUMPRODUCT(--(OPERAÇÕES!K2:K47=TRUE))</f>
        <v>0</v>
      </c>
      <c r="K11" s="4">
        <f>COUNTA(OPERAÇÕES!$C$2:$C$47)-J11</f>
        <v>46</v>
      </c>
    </row>
    <row r="12" spans="1:11" x14ac:dyDescent="0.25">
      <c r="A12" s="4" t="str">
        <f>OPERAÇÕES!C5</f>
        <v>MALAI MANSO</v>
      </c>
      <c r="B12" s="4" t="str">
        <f>TEXT(OPERAÇÕES!A5,"DD/MM")&amp;" a "&amp;TEXT(OPERAÇÕES!B5,"DD/MM")</f>
        <v>05/10 a 08/10</v>
      </c>
      <c r="C12" s="16" t="str">
        <f>REPT("■",ROUND(OPERAÇÕES!F5*20,0))&amp;REPT("·",20-ROUND(OPERAÇÕES!F5*20,0))</f>
        <v>····················</v>
      </c>
      <c r="D12" s="5">
        <f>OPERAÇÕES!F5</f>
        <v>0</v>
      </c>
      <c r="E12" s="4" t="str">
        <f ca="1">OPERAÇÕES!E5</f>
        <v>Em preparação</v>
      </c>
      <c r="F12" s="4" t="str">
        <f ca="1">OPERAÇÕES!H5</f>
        <v/>
      </c>
      <c r="H12" s="4" t="s">
        <v>11</v>
      </c>
      <c r="I12" s="4" t="s">
        <v>71</v>
      </c>
      <c r="J12" s="4">
        <f>SUMPRODUCT(--(OPERAÇÕES!L2:L47=TRUE))</f>
        <v>0</v>
      </c>
      <c r="K12" s="4">
        <f>COUNTA(OPERAÇÕES!$C$2:$C$47)-J12</f>
        <v>46</v>
      </c>
    </row>
    <row r="13" spans="1:11" x14ac:dyDescent="0.25">
      <c r="A13" s="4" t="str">
        <f>OPERAÇÕES!C6</f>
        <v>MED LAKE</v>
      </c>
      <c r="B13" s="4" t="str">
        <f>TEXT(OPERAÇÕES!A6,"DD/MM")&amp;" a "&amp;TEXT(OPERAÇÕES!B6,"DD/MM")</f>
        <v>05/10 a 08/10</v>
      </c>
      <c r="C13" s="16" t="str">
        <f>REPT("■",ROUND(OPERAÇÕES!F6*20,0))&amp;REPT("·",20-ROUND(OPERAÇÕES!F6*20,0))</f>
        <v>····················</v>
      </c>
      <c r="D13" s="5">
        <f>OPERAÇÕES!F6</f>
        <v>0</v>
      </c>
      <c r="E13" s="4" t="str">
        <f ca="1">OPERAÇÕES!E6</f>
        <v>Em preparação</v>
      </c>
      <c r="F13" s="4" t="str">
        <f ca="1">OPERAÇÕES!H6</f>
        <v/>
      </c>
      <c r="H13" s="4" t="s">
        <v>12</v>
      </c>
      <c r="I13" s="4" t="s">
        <v>71</v>
      </c>
      <c r="J13" s="4">
        <f>SUMPRODUCT(--(OPERAÇÕES!M2:M47=TRUE))</f>
        <v>0</v>
      </c>
      <c r="K13" s="4">
        <f>COUNTA(OPERAÇÕES!$C$2:$C$47)-J13</f>
        <v>46</v>
      </c>
    </row>
    <row r="14" spans="1:11" x14ac:dyDescent="0.25">
      <c r="A14" s="4" t="str">
        <f>OPERAÇÕES!C7</f>
        <v>CAMP SP</v>
      </c>
      <c r="B14" s="4" t="str">
        <f>TEXT(OPERAÇÕES!A7,"DD/MM")&amp;" a "&amp;TEXT(OPERAÇÕES!B7,"DD/MM")</f>
        <v>07/10 a 10/10</v>
      </c>
      <c r="C14" s="16" t="str">
        <f>REPT("■",ROUND(OPERAÇÕES!F7*20,0))&amp;REPT("·",20-ROUND(OPERAÇÕES!F7*20,0))</f>
        <v>····················</v>
      </c>
      <c r="D14" s="5">
        <f>OPERAÇÕES!F7</f>
        <v>0</v>
      </c>
      <c r="E14" s="4" t="str">
        <f ca="1">OPERAÇÕES!E7</f>
        <v>Em preparação</v>
      </c>
      <c r="F14" s="4" t="str">
        <f ca="1">OPERAÇÕES!H7</f>
        <v/>
      </c>
      <c r="H14" s="4" t="s">
        <v>13</v>
      </c>
      <c r="I14" s="4" t="s">
        <v>71</v>
      </c>
      <c r="J14" s="4">
        <f>SUMPRODUCT(--(OPERAÇÕES!N2:N47=TRUE))</f>
        <v>0</v>
      </c>
      <c r="K14" s="4">
        <f>COUNTA(OPERAÇÕES!$C$2:$C$47)-J14</f>
        <v>46</v>
      </c>
    </row>
    <row r="15" spans="1:11" x14ac:dyDescent="0.25">
      <c r="A15" s="4" t="str">
        <f>OPERAÇÕES!C8</f>
        <v>CAMP SP</v>
      </c>
      <c r="B15" s="4" t="str">
        <f>TEXT(OPERAÇÕES!A8,"DD/MM")&amp;" a "&amp;TEXT(OPERAÇÕES!B8,"DD/MM")</f>
        <v>10/10 a 13/10</v>
      </c>
      <c r="C15" s="16" t="str">
        <f>REPT("■",ROUND(OPERAÇÕES!F8*20,0))&amp;REPT("·",20-ROUND(OPERAÇÕES!F8*20,0))</f>
        <v>····················</v>
      </c>
      <c r="D15" s="5">
        <f>OPERAÇÕES!F8</f>
        <v>0</v>
      </c>
      <c r="E15" s="4" t="str">
        <f ca="1">OPERAÇÕES!E8</f>
        <v>Em preparação</v>
      </c>
      <c r="F15" s="4" t="str">
        <f ca="1">OPERAÇÕES!H8</f>
        <v/>
      </c>
      <c r="H15" s="4" t="s">
        <v>14</v>
      </c>
      <c r="I15" s="4" t="s">
        <v>71</v>
      </c>
      <c r="J15" s="4">
        <f>SUMPRODUCT(--(OPERAÇÕES!O2:O47=TRUE))</f>
        <v>0</v>
      </c>
      <c r="K15" s="4">
        <f>COUNTA(OPERAÇÕES!$C$2:$C$47)-J15</f>
        <v>46</v>
      </c>
    </row>
    <row r="16" spans="1:11" x14ac:dyDescent="0.25">
      <c r="A16" s="4" t="str">
        <f>OPERAÇÕES!C9</f>
        <v>MED LAKE</v>
      </c>
      <c r="B16" s="4" t="str">
        <f>TEXT(OPERAÇÕES!A9,"DD/MM")&amp;" a "&amp;TEXT(OPERAÇÕES!B9,"DD/MM")</f>
        <v>12/10 a 15/10</v>
      </c>
      <c r="C16" s="16" t="str">
        <f>REPT("■",ROUND(OPERAÇÕES!F9*20,0))&amp;REPT("·",20-ROUND(OPERAÇÕES!F9*20,0))</f>
        <v>····················</v>
      </c>
      <c r="D16" s="5">
        <f>OPERAÇÕES!F9</f>
        <v>0</v>
      </c>
      <c r="E16" s="4" t="str">
        <f ca="1">OPERAÇÕES!E9</f>
        <v>Em preparação</v>
      </c>
      <c r="F16" s="4" t="str">
        <f ca="1">OPERAÇÕES!H9</f>
        <v/>
      </c>
      <c r="H16" s="4" t="s">
        <v>15</v>
      </c>
      <c r="I16" s="4" t="s">
        <v>71</v>
      </c>
      <c r="J16" s="4">
        <f>SUMPRODUCT(--(OPERAÇÕES!P2:P47=TRUE))</f>
        <v>0</v>
      </c>
      <c r="K16" s="4">
        <f>COUNTA(OPERAÇÕES!$C$2:$C$47)-J16</f>
        <v>46</v>
      </c>
    </row>
    <row r="17" spans="1:11" x14ac:dyDescent="0.25">
      <c r="A17" s="4" t="str">
        <f>OPERAÇÕES!C10</f>
        <v>CAMP CERRADO</v>
      </c>
      <c r="B17" s="4" t="str">
        <f>TEXT(OPERAÇÕES!A10,"DD/MM")&amp;" a "&amp;TEXT(OPERAÇÕES!B10,"DD/MM")</f>
        <v>13/10 a 16/10</v>
      </c>
      <c r="C17" s="16" t="str">
        <f>REPT("■",ROUND(OPERAÇÕES!F10*20,0))&amp;REPT("·",20-ROUND(OPERAÇÕES!F10*20,0))</f>
        <v>····················</v>
      </c>
      <c r="D17" s="5">
        <f>OPERAÇÕES!F10</f>
        <v>0</v>
      </c>
      <c r="E17" s="4" t="str">
        <f ca="1">OPERAÇÕES!E10</f>
        <v>Em preparação</v>
      </c>
      <c r="F17" s="4" t="str">
        <f ca="1">OPERAÇÕES!H10</f>
        <v/>
      </c>
      <c r="H17" s="4" t="s">
        <v>16</v>
      </c>
      <c r="I17" s="4" t="s">
        <v>71</v>
      </c>
      <c r="J17" s="4">
        <f>SUMPRODUCT(--(OPERAÇÕES!Q2:Q47=TRUE))</f>
        <v>0</v>
      </c>
      <c r="K17" s="4">
        <f>COUNTA(OPERAÇÕES!$C$2:$C$47)-J17</f>
        <v>46</v>
      </c>
    </row>
    <row r="18" spans="1:11" x14ac:dyDescent="0.25">
      <c r="A18" s="4" t="str">
        <f>OPERAÇÕES!C11</f>
        <v>CAMP SP</v>
      </c>
      <c r="B18" s="4" t="str">
        <f>TEXT(OPERAÇÕES!A11,"DD/MM")&amp;" a "&amp;TEXT(OPERAÇÕES!B11,"DD/MM")</f>
        <v>13/10 a 16/10</v>
      </c>
      <c r="C18" s="16" t="str">
        <f>REPT("■",ROUND(OPERAÇÕES!F11*20,0))&amp;REPT("·",20-ROUND(OPERAÇÕES!F11*20,0))</f>
        <v>····················</v>
      </c>
      <c r="D18" s="5">
        <f>OPERAÇÕES!F11</f>
        <v>0</v>
      </c>
      <c r="E18" s="4" t="str">
        <f ca="1">OPERAÇÕES!E11</f>
        <v>Em preparação</v>
      </c>
      <c r="F18" s="4" t="str">
        <f ca="1">OPERAÇÕES!H11</f>
        <v/>
      </c>
      <c r="H18" s="4" t="s">
        <v>17</v>
      </c>
      <c r="I18" s="4" t="s">
        <v>71</v>
      </c>
      <c r="J18" s="4">
        <f>SUMPRODUCT(--(OPERAÇÕES!R2:R47=TRUE))</f>
        <v>0</v>
      </c>
      <c r="K18" s="4">
        <f>COUNTA(OPERAÇÕES!$C$2:$C$47)-J18</f>
        <v>46</v>
      </c>
    </row>
    <row r="19" spans="1:11" x14ac:dyDescent="0.25">
      <c r="A19" s="4" t="str">
        <f>OPERAÇÕES!C12</f>
        <v>CAMP SP</v>
      </c>
      <c r="B19" s="4" t="str">
        <f>TEXT(OPERAÇÕES!A12,"DD/MM")&amp;" a "&amp;TEXT(OPERAÇÕES!B12,"DD/MM")</f>
        <v>16/10 a 19/10</v>
      </c>
      <c r="C19" s="16" t="str">
        <f>REPT("■",ROUND(OPERAÇÕES!F12*20,0))&amp;REPT("·",20-ROUND(OPERAÇÕES!F12*20,0))</f>
        <v>····················</v>
      </c>
      <c r="D19" s="5">
        <f>OPERAÇÕES!F12</f>
        <v>0</v>
      </c>
      <c r="E19" s="4" t="str">
        <f ca="1">OPERAÇÕES!E12</f>
        <v>Em preparação</v>
      </c>
      <c r="F19" s="4" t="str">
        <f ca="1">OPERAÇÕES!H12</f>
        <v/>
      </c>
      <c r="H19" s="4" t="s">
        <v>18</v>
      </c>
      <c r="I19" s="4" t="s">
        <v>71</v>
      </c>
      <c r="J19" s="4">
        <f>SUMPRODUCT(--(OPERAÇÕES!S2:S47=TRUE))</f>
        <v>0</v>
      </c>
      <c r="K19" s="4">
        <f>COUNTA(OPERAÇÕES!$C$2:$C$47)-J19</f>
        <v>46</v>
      </c>
    </row>
    <row r="20" spans="1:11" x14ac:dyDescent="0.25">
      <c r="A20" s="4" t="str">
        <f>OPERAÇÕES!C13</f>
        <v>FAZZENDA PARK</v>
      </c>
      <c r="B20" s="4" t="str">
        <f>TEXT(OPERAÇÕES!A13,"DD/MM")&amp;" a "&amp;TEXT(OPERAÇÕES!B13,"DD/MM")</f>
        <v>18/10 a 21/10</v>
      </c>
      <c r="C20" s="16" t="str">
        <f>REPT("■",ROUND(OPERAÇÕES!F13*20,0))&amp;REPT("·",20-ROUND(OPERAÇÕES!F13*20,0))</f>
        <v>····················</v>
      </c>
      <c r="D20" s="5">
        <f>OPERAÇÕES!F13</f>
        <v>0</v>
      </c>
      <c r="E20" s="4" t="str">
        <f ca="1">OPERAÇÕES!E13</f>
        <v>Em preparação</v>
      </c>
      <c r="F20" s="4" t="str">
        <f ca="1">OPERAÇÕES!H13</f>
        <v/>
      </c>
      <c r="H20" s="4" t="s">
        <v>19</v>
      </c>
      <c r="I20" s="4" t="s">
        <v>71</v>
      </c>
      <c r="J20" s="4">
        <f>SUMPRODUCT(--(OPERAÇÕES!T2:T47=TRUE))</f>
        <v>0</v>
      </c>
      <c r="K20" s="4">
        <f>COUNTA(OPERAÇÕES!$C$2:$C$47)-J20</f>
        <v>46</v>
      </c>
    </row>
    <row r="21" spans="1:11" x14ac:dyDescent="0.25">
      <c r="A21" s="4" t="str">
        <f>OPERAÇÕES!C14</f>
        <v>CAMP SP</v>
      </c>
      <c r="B21" s="4" t="str">
        <f>TEXT(OPERAÇÕES!A14,"DD/MM")&amp;" a "&amp;TEXT(OPERAÇÕES!B14,"DD/MM")</f>
        <v>19/10 a 22/10</v>
      </c>
      <c r="C21" s="16" t="str">
        <f>REPT("■",ROUND(OPERAÇÕES!F14*20,0))&amp;REPT("·",20-ROUND(OPERAÇÕES!F14*20,0))</f>
        <v>····················</v>
      </c>
      <c r="D21" s="5">
        <f>OPERAÇÕES!F14</f>
        <v>0</v>
      </c>
      <c r="E21" s="4" t="str">
        <f ca="1">OPERAÇÕES!E14</f>
        <v>Em preparação</v>
      </c>
      <c r="F21" s="4" t="str">
        <f ca="1">OPERAÇÕES!H14</f>
        <v/>
      </c>
      <c r="H21" s="4" t="s">
        <v>20</v>
      </c>
      <c r="I21" s="4" t="s">
        <v>72</v>
      </c>
      <c r="J21" s="4">
        <f>SUMPRODUCT(--(OPERAÇÕES!U2:U47=TRUE))</f>
        <v>0</v>
      </c>
      <c r="K21" s="4">
        <f>COUNTA(OPERAÇÕES!$C$2:$C$47)-J21</f>
        <v>46</v>
      </c>
    </row>
    <row r="22" spans="1:11" x14ac:dyDescent="0.25">
      <c r="A22" s="4" t="str">
        <f>OPERAÇÕES!C15</f>
        <v>CAMP SP</v>
      </c>
      <c r="B22" s="4" t="str">
        <f>TEXT(OPERAÇÕES!A15,"DD/MM")&amp;" a "&amp;TEXT(OPERAÇÕES!B15,"DD/MM")</f>
        <v>22/10 a 25/10</v>
      </c>
      <c r="C22" s="16" t="str">
        <f>REPT("■",ROUND(OPERAÇÕES!F15*20,0))&amp;REPT("·",20-ROUND(OPERAÇÕES!F15*20,0))</f>
        <v>····················</v>
      </c>
      <c r="D22" s="5">
        <f>OPERAÇÕES!F15</f>
        <v>0</v>
      </c>
      <c r="E22" s="4" t="str">
        <f ca="1">OPERAÇÕES!E15</f>
        <v>Em preparação</v>
      </c>
      <c r="F22" s="4" t="str">
        <f ca="1">OPERAÇÕES!H15</f>
        <v/>
      </c>
      <c r="H22" s="4" t="s">
        <v>21</v>
      </c>
      <c r="I22" s="4" t="s">
        <v>72</v>
      </c>
      <c r="J22" s="4">
        <f>SUMPRODUCT(--(OPERAÇÕES!V2:V47=TRUE))</f>
        <v>0</v>
      </c>
      <c r="K22" s="4">
        <f>COUNTA(OPERAÇÕES!$C$2:$C$47)-J22</f>
        <v>46</v>
      </c>
    </row>
    <row r="23" spans="1:11" x14ac:dyDescent="0.25">
      <c r="A23" s="4" t="str">
        <f>OPERAÇÕES!C16</f>
        <v>NOVOTEL</v>
      </c>
      <c r="B23" s="4" t="str">
        <f>TEXT(OPERAÇÕES!A16,"DD/MM")&amp;" a "&amp;TEXT(OPERAÇÕES!B16,"DD/MM")</f>
        <v>22/10 a 25/10</v>
      </c>
      <c r="C23" s="16" t="str">
        <f>REPT("■",ROUND(OPERAÇÕES!F16*20,0))&amp;REPT("·",20-ROUND(OPERAÇÕES!F16*20,0))</f>
        <v>····················</v>
      </c>
      <c r="D23" s="5">
        <f>OPERAÇÕES!F16</f>
        <v>0</v>
      </c>
      <c r="E23" s="4" t="str">
        <f ca="1">OPERAÇÕES!E16</f>
        <v>Em preparação</v>
      </c>
      <c r="F23" s="4" t="str">
        <f ca="1">OPERAÇÕES!H16</f>
        <v/>
      </c>
      <c r="H23" s="4" t="s">
        <v>22</v>
      </c>
      <c r="I23" s="4" t="s">
        <v>72</v>
      </c>
      <c r="J23" s="4">
        <f>SUMPRODUCT(--(OPERAÇÕES!W2:W47=TRUE))</f>
        <v>0</v>
      </c>
      <c r="K23" s="4">
        <f>COUNTA(OPERAÇÕES!$C$2:$C$47)-J23</f>
        <v>46</v>
      </c>
    </row>
    <row r="24" spans="1:11" x14ac:dyDescent="0.25">
      <c r="A24" s="4" t="str">
        <f>OPERAÇÕES!C17</f>
        <v>NOVOTEL</v>
      </c>
      <c r="B24" s="4" t="str">
        <f>TEXT(OPERAÇÕES!A17,"DD/MM")&amp;" a "&amp;TEXT(OPERAÇÕES!B17,"DD/MM")</f>
        <v>25/10 a 28/10</v>
      </c>
      <c r="C24" s="16" t="str">
        <f>REPT("■",ROUND(OPERAÇÕES!F17*20,0))&amp;REPT("·",20-ROUND(OPERAÇÕES!F17*20,0))</f>
        <v>····················</v>
      </c>
      <c r="D24" s="5">
        <f>OPERAÇÕES!F17</f>
        <v>0</v>
      </c>
      <c r="E24" s="4" t="str">
        <f ca="1">OPERAÇÕES!E17</f>
        <v>Em preparação</v>
      </c>
      <c r="F24" s="4" t="str">
        <f ca="1">OPERAÇÕES!H17</f>
        <v/>
      </c>
      <c r="H24" s="4" t="s">
        <v>23</v>
      </c>
      <c r="I24" s="4" t="s">
        <v>72</v>
      </c>
      <c r="J24" s="4">
        <f>SUMPRODUCT(--(OPERAÇÕES!X2:X47=TRUE))</f>
        <v>0</v>
      </c>
      <c r="K24" s="4">
        <f>COUNTA(OPERAÇÕES!$C$2:$C$47)-J24</f>
        <v>46</v>
      </c>
    </row>
    <row r="25" spans="1:11" x14ac:dyDescent="0.25">
      <c r="A25" s="4" t="str">
        <f>OPERAÇÕES!C18</f>
        <v>CAETÉ</v>
      </c>
      <c r="B25" s="4" t="str">
        <f>TEXT(OPERAÇÕES!A18,"DD/MM")&amp;" a "&amp;TEXT(OPERAÇÕES!B18,"DD/MM")</f>
        <v>26/10 a 29/10</v>
      </c>
      <c r="C25" s="16" t="str">
        <f>REPT("■",ROUND(OPERAÇÕES!F18*20,0))&amp;REPT("·",20-ROUND(OPERAÇÕES!F18*20,0))</f>
        <v>····················</v>
      </c>
      <c r="D25" s="5">
        <f>OPERAÇÕES!F18</f>
        <v>0</v>
      </c>
      <c r="E25" s="4" t="str">
        <f ca="1">OPERAÇÕES!E18</f>
        <v>Em preparação</v>
      </c>
      <c r="F25" s="4" t="str">
        <f ca="1">OPERAÇÕES!H18</f>
        <v/>
      </c>
      <c r="H25" s="4" t="s">
        <v>24</v>
      </c>
      <c r="I25" s="4" t="s">
        <v>72</v>
      </c>
      <c r="J25" s="4">
        <f>SUMPRODUCT(--(OPERAÇÕES!Y2:Y47=TRUE))</f>
        <v>0</v>
      </c>
      <c r="K25" s="4">
        <f>COUNTA(OPERAÇÕES!$C$2:$C$47)-J25</f>
        <v>46</v>
      </c>
    </row>
    <row r="26" spans="1:11" x14ac:dyDescent="0.25">
      <c r="A26" s="4" t="str">
        <f>OPERAÇÕES!C19</f>
        <v>FORFUN SP</v>
      </c>
      <c r="B26" s="4" t="str">
        <f>TEXT(OPERAÇÕES!A19,"DD/MM")&amp;" a "&amp;TEXT(OPERAÇÕES!B19,"DD/MM")</f>
        <v>27/10 a 29/10</v>
      </c>
      <c r="C26" s="16" t="str">
        <f>REPT("■",ROUND(OPERAÇÕES!F19*20,0))&amp;REPT("·",20-ROUND(OPERAÇÕES!F19*20,0))</f>
        <v>····················</v>
      </c>
      <c r="D26" s="5">
        <f>OPERAÇÕES!F19</f>
        <v>0</v>
      </c>
      <c r="E26" s="4" t="str">
        <f ca="1">OPERAÇÕES!E19</f>
        <v>Em preparação</v>
      </c>
      <c r="F26" s="4" t="str">
        <f ca="1">OPERAÇÕES!H19</f>
        <v/>
      </c>
      <c r="H26" s="4" t="s">
        <v>25</v>
      </c>
      <c r="I26" s="4" t="s">
        <v>72</v>
      </c>
      <c r="J26" s="4">
        <f>SUMPRODUCT(--(OPERAÇÕES!Z2:Z47=TRUE))</f>
        <v>0</v>
      </c>
      <c r="K26" s="4">
        <f>COUNTA(OPERAÇÕES!$C$2:$C$47)-J26</f>
        <v>46</v>
      </c>
    </row>
    <row r="27" spans="1:11" x14ac:dyDescent="0.25">
      <c r="A27" s="4" t="str">
        <f>OPERAÇÕES!C20</f>
        <v>FORFUN SP</v>
      </c>
      <c r="B27" s="4" t="str">
        <f>TEXT(OPERAÇÕES!A20,"DD/MM")&amp;" a "&amp;TEXT(OPERAÇÕES!B20,"DD/MM")</f>
        <v>29/10 a 31/10</v>
      </c>
      <c r="C27" s="16" t="str">
        <f>REPT("■",ROUND(OPERAÇÕES!F20*20,0))&amp;REPT("·",20-ROUND(OPERAÇÕES!F20*20,0))</f>
        <v>····················</v>
      </c>
      <c r="D27" s="5">
        <f>OPERAÇÕES!F20</f>
        <v>0</v>
      </c>
      <c r="E27" s="4" t="str">
        <f ca="1">OPERAÇÕES!E20</f>
        <v>Em preparação</v>
      </c>
      <c r="F27" s="4" t="str">
        <f ca="1">OPERAÇÕES!H20</f>
        <v/>
      </c>
      <c r="H27" s="4" t="s">
        <v>26</v>
      </c>
      <c r="I27" s="4" t="s">
        <v>72</v>
      </c>
      <c r="J27" s="4">
        <f>SUMPRODUCT(--(OPERAÇÕES!AA2:AA47=TRUE))</f>
        <v>0</v>
      </c>
      <c r="K27" s="4">
        <f>COUNTA(OPERAÇÕES!$C$2:$C$47)-J27</f>
        <v>46</v>
      </c>
    </row>
    <row r="28" spans="1:11" x14ac:dyDescent="0.25">
      <c r="A28" s="4" t="str">
        <f>OPERAÇÕES!C21</f>
        <v>FORFUN SP</v>
      </c>
      <c r="B28" s="4" t="str">
        <f>TEXT(OPERAÇÕES!A21,"DD/MM")&amp;" a "&amp;TEXT(OPERAÇÕES!B21,"DD/MM")</f>
        <v>31/10 a 02/11</v>
      </c>
      <c r="C28" s="16" t="str">
        <f>REPT("■",ROUND(OPERAÇÕES!F21*20,0))&amp;REPT("·",20-ROUND(OPERAÇÕES!F21*20,0))</f>
        <v>····················</v>
      </c>
      <c r="D28" s="5">
        <f>OPERAÇÕES!F21</f>
        <v>0</v>
      </c>
      <c r="E28" s="4" t="str">
        <f ca="1">OPERAÇÕES!E21</f>
        <v>Em preparação</v>
      </c>
      <c r="F28" s="4" t="str">
        <f ca="1">OPERAÇÕES!H21</f>
        <v/>
      </c>
    </row>
    <row r="29" spans="1:11" x14ac:dyDescent="0.25">
      <c r="A29" s="4" t="str">
        <f>OPERAÇÕES!C22</f>
        <v>CAMP SP</v>
      </c>
      <c r="B29" s="4" t="str">
        <f>TEXT(OPERAÇÕES!A22,"DD/MM")&amp;" a "&amp;TEXT(OPERAÇÕES!B22,"DD/MM")</f>
        <v>02/11 a 05/11</v>
      </c>
      <c r="C29" s="16" t="str">
        <f>REPT("■",ROUND(OPERAÇÕES!F22*20,0))&amp;REPT("·",20-ROUND(OPERAÇÕES!F22*20,0))</f>
        <v>····················</v>
      </c>
      <c r="D29" s="5">
        <f>OPERAÇÕES!F22</f>
        <v>0</v>
      </c>
      <c r="E29" s="4" t="str">
        <f ca="1">OPERAÇÕES!E22</f>
        <v>Em preparação</v>
      </c>
      <c r="F29" s="4" t="str">
        <f ca="1">OPERAÇÕES!H22</f>
        <v/>
      </c>
    </row>
    <row r="30" spans="1:11" x14ac:dyDescent="0.25">
      <c r="A30" s="4" t="str">
        <f>OPERAÇÕES!C23</f>
        <v>BEACH PARK</v>
      </c>
      <c r="B30" s="4" t="str">
        <f>TEXT(OPERAÇÕES!A23,"DD/MM")&amp;" a "&amp;TEXT(OPERAÇÕES!B23,"DD/MM")</f>
        <v>03/11 a 06/11</v>
      </c>
      <c r="C30" s="16" t="str">
        <f>REPT("■",ROUND(OPERAÇÕES!F23*20,0))&amp;REPT("·",20-ROUND(OPERAÇÕES!F23*20,0))</f>
        <v>····················</v>
      </c>
      <c r="D30" s="5">
        <f>OPERAÇÕES!F23</f>
        <v>0</v>
      </c>
      <c r="E30" s="4" t="str">
        <f ca="1">OPERAÇÕES!E23</f>
        <v>Em preparação</v>
      </c>
      <c r="F30" s="4" t="str">
        <f ca="1">OPERAÇÕES!H23</f>
        <v/>
      </c>
    </row>
    <row r="31" spans="1:11" x14ac:dyDescent="0.25">
      <c r="A31" s="4" t="str">
        <f>OPERAÇÕES!C24</f>
        <v>VG ANGRA</v>
      </c>
      <c r="B31" s="4" t="str">
        <f>TEXT(OPERAÇÕES!A24,"DD/MM")&amp;" a "&amp;TEXT(OPERAÇÕES!B24,"DD/MM")</f>
        <v>03/11 a 06/11</v>
      </c>
      <c r="C31" s="16" t="str">
        <f>REPT("■",ROUND(OPERAÇÕES!F24*20,0))&amp;REPT("·",20-ROUND(OPERAÇÕES!F24*20,0))</f>
        <v>····················</v>
      </c>
      <c r="D31" s="5">
        <f>OPERAÇÕES!F24</f>
        <v>0</v>
      </c>
      <c r="E31" s="4" t="str">
        <f ca="1">OPERAÇÕES!E24</f>
        <v>Em preparação</v>
      </c>
      <c r="F31" s="4" t="str">
        <f ca="1">OPERAÇÕES!H24</f>
        <v/>
      </c>
    </row>
    <row r="32" spans="1:11" x14ac:dyDescent="0.25">
      <c r="A32" s="4" t="str">
        <f>OPERAÇÕES!C25</f>
        <v>CAMP SP</v>
      </c>
      <c r="B32" s="4" t="str">
        <f>TEXT(OPERAÇÕES!A25,"DD/MM")&amp;" a "&amp;TEXT(OPERAÇÕES!B25,"DD/MM")</f>
        <v>05/11 a 08/11</v>
      </c>
      <c r="C32" s="16" t="str">
        <f>REPT("■",ROUND(OPERAÇÕES!F25*20,0))&amp;REPT("·",20-ROUND(OPERAÇÕES!F25*20,0))</f>
        <v>····················</v>
      </c>
      <c r="D32" s="5">
        <f>OPERAÇÕES!F25</f>
        <v>0</v>
      </c>
      <c r="E32" s="4" t="str">
        <f ca="1">OPERAÇÕES!E25</f>
        <v>Em preparação</v>
      </c>
      <c r="F32" s="4" t="str">
        <f ca="1">OPERAÇÕES!H25</f>
        <v/>
      </c>
    </row>
    <row r="33" spans="1:6" x14ac:dyDescent="0.25">
      <c r="A33" s="4" t="str">
        <f>OPERAÇÕES!C26</f>
        <v>BEACH PARK</v>
      </c>
      <c r="B33" s="4" t="str">
        <f>TEXT(OPERAÇÕES!A26,"DD/MM")&amp;" a "&amp;TEXT(OPERAÇÕES!B26,"DD/MM")</f>
        <v>06/11 a 09/11</v>
      </c>
      <c r="C33" s="16" t="str">
        <f>REPT("■",ROUND(OPERAÇÕES!F26*20,0))&amp;REPT("·",20-ROUND(OPERAÇÕES!F26*20,0))</f>
        <v>····················</v>
      </c>
      <c r="D33" s="5">
        <f>OPERAÇÕES!F26</f>
        <v>0</v>
      </c>
      <c r="E33" s="4" t="str">
        <f ca="1">OPERAÇÕES!E26</f>
        <v>Em preparação</v>
      </c>
      <c r="F33" s="4" t="str">
        <f ca="1">OPERAÇÕES!H26</f>
        <v/>
      </c>
    </row>
    <row r="34" spans="1:6" x14ac:dyDescent="0.25">
      <c r="A34" s="4" t="str">
        <f>OPERAÇÕES!C27</f>
        <v>CAMP SP</v>
      </c>
      <c r="B34" s="4" t="str">
        <f>TEXT(OPERAÇÕES!A27,"DD/MM")&amp;" a "&amp;TEXT(OPERAÇÕES!B27,"DD/MM")</f>
        <v>08/11 a 11/11</v>
      </c>
      <c r="C34" s="16" t="str">
        <f>REPT("■",ROUND(OPERAÇÕES!F27*20,0))&amp;REPT("·",20-ROUND(OPERAÇÕES!F27*20,0))</f>
        <v>····················</v>
      </c>
      <c r="D34" s="5">
        <f>OPERAÇÕES!F27</f>
        <v>0</v>
      </c>
      <c r="E34" s="4" t="str">
        <f ca="1">OPERAÇÕES!E27</f>
        <v>Em preparação</v>
      </c>
      <c r="F34" s="4" t="str">
        <f ca="1">OPERAÇÕES!H27</f>
        <v/>
      </c>
    </row>
    <row r="35" spans="1:6" x14ac:dyDescent="0.25">
      <c r="A35" s="4" t="str">
        <f>OPERAÇÕES!C28</f>
        <v>PRATAGY</v>
      </c>
      <c r="B35" s="4" t="str">
        <f>TEXT(OPERAÇÕES!A28,"DD/MM")&amp;" a "&amp;TEXT(OPERAÇÕES!B28,"DD/MM")</f>
        <v>10/11 a 13/11</v>
      </c>
      <c r="C35" s="16" t="str">
        <f>REPT("■",ROUND(OPERAÇÕES!F28*20,0))&amp;REPT("·",20-ROUND(OPERAÇÕES!F28*20,0))</f>
        <v>····················</v>
      </c>
      <c r="D35" s="5">
        <f>OPERAÇÕES!F28</f>
        <v>0</v>
      </c>
      <c r="E35" s="4" t="str">
        <f ca="1">OPERAÇÕES!E28</f>
        <v>Em preparação</v>
      </c>
      <c r="F35" s="4" t="str">
        <f ca="1">OPERAÇÕES!H28</f>
        <v/>
      </c>
    </row>
    <row r="36" spans="1:6" x14ac:dyDescent="0.25">
      <c r="A36" s="4" t="str">
        <f>OPERAÇÕES!C29</f>
        <v>CAMP SP</v>
      </c>
      <c r="B36" s="4" t="str">
        <f>TEXT(OPERAÇÕES!A29,"DD/MM")&amp;" a "&amp;TEXT(OPERAÇÕES!B29,"DD/MM")</f>
        <v>11/11 a 14/11</v>
      </c>
      <c r="C36" s="16" t="str">
        <f>REPT("■",ROUND(OPERAÇÕES!F29*20,0))&amp;REPT("·",20-ROUND(OPERAÇÕES!F29*20,0))</f>
        <v>····················</v>
      </c>
      <c r="D36" s="5">
        <f>OPERAÇÕES!F29</f>
        <v>0</v>
      </c>
      <c r="E36" s="4" t="str">
        <f ca="1">OPERAÇÕES!E29</f>
        <v>Em preparação</v>
      </c>
      <c r="F36" s="4" t="str">
        <f ca="1">OPERAÇÕES!H29</f>
        <v/>
      </c>
    </row>
    <row r="37" spans="1:6" x14ac:dyDescent="0.25">
      <c r="A37" s="4" t="str">
        <f>OPERAÇÕES!C30</f>
        <v>CAMP SP</v>
      </c>
      <c r="B37" s="4" t="str">
        <f>TEXT(OPERAÇÕES!A30,"DD/MM")&amp;" a "&amp;TEXT(OPERAÇÕES!B30,"DD/MM")</f>
        <v>14/11 a 17/11</v>
      </c>
      <c r="C37" s="16" t="str">
        <f>REPT("■",ROUND(OPERAÇÕES!F30*20,0))&amp;REPT("·",20-ROUND(OPERAÇÕES!F30*20,0))</f>
        <v>····················</v>
      </c>
      <c r="D37" s="5">
        <f>OPERAÇÕES!F30</f>
        <v>0</v>
      </c>
      <c r="E37" s="4" t="str">
        <f ca="1">OPERAÇÕES!E30</f>
        <v>Em preparação</v>
      </c>
      <c r="F37" s="4" t="str">
        <f ca="1">OPERAÇÕES!H30</f>
        <v/>
      </c>
    </row>
    <row r="38" spans="1:6" x14ac:dyDescent="0.25">
      <c r="A38" s="4" t="str">
        <f>OPERAÇÕES!C31</f>
        <v>CAMP SUL</v>
      </c>
      <c r="B38" s="4" t="str">
        <f>TEXT(OPERAÇÕES!A31,"DD/MM")&amp;" a "&amp;TEXT(OPERAÇÕES!B31,"DD/MM")</f>
        <v>23/11 a 25/11</v>
      </c>
      <c r="C38" s="16" t="str">
        <f>REPT("■",ROUND(OPERAÇÕES!F31*20,0))&amp;REPT("·",20-ROUND(OPERAÇÕES!F31*20,0))</f>
        <v>····················</v>
      </c>
      <c r="D38" s="5">
        <f>OPERAÇÕES!F31</f>
        <v>0</v>
      </c>
      <c r="E38" s="4" t="str">
        <f ca="1">OPERAÇÕES!E31</f>
        <v>Em preparação</v>
      </c>
      <c r="F38" s="4" t="str">
        <f ca="1">OPERAÇÕES!H31</f>
        <v/>
      </c>
    </row>
    <row r="39" spans="1:6" x14ac:dyDescent="0.25">
      <c r="A39" s="4" t="str">
        <f>OPERAÇÕES!C32</f>
        <v>LE CANTON</v>
      </c>
      <c r="B39" s="4" t="str">
        <f>TEXT(OPERAÇÕES!A32,"DD/MM")&amp;" a "&amp;TEXT(OPERAÇÕES!B32,"DD/MM")</f>
        <v>23/11 a 25/11</v>
      </c>
      <c r="C39" s="16" t="str">
        <f>REPT("■",ROUND(OPERAÇÕES!F32*20,0))&amp;REPT("·",20-ROUND(OPERAÇÕES!F32*20,0))</f>
        <v>····················</v>
      </c>
      <c r="D39" s="5">
        <f>OPERAÇÕES!F32</f>
        <v>0</v>
      </c>
      <c r="E39" s="4" t="str">
        <f ca="1">OPERAÇÕES!E32</f>
        <v>Em preparação</v>
      </c>
      <c r="F39" s="4" t="str">
        <f ca="1">OPERAÇÕES!H32</f>
        <v/>
      </c>
    </row>
    <row r="40" spans="1:6" x14ac:dyDescent="0.25">
      <c r="A40" s="4" t="str">
        <f>OPERAÇÕES!C33</f>
        <v>LE CANTON</v>
      </c>
      <c r="B40" s="4" t="str">
        <f>TEXT(OPERAÇÕES!A33,"DD/MM")&amp;" a "&amp;TEXT(OPERAÇÕES!B33,"DD/MM")</f>
        <v>25/11 a 27/11</v>
      </c>
      <c r="C40" s="16" t="str">
        <f>REPT("■",ROUND(OPERAÇÕES!F33*20,0))&amp;REPT("·",20-ROUND(OPERAÇÕES!F33*20,0))</f>
        <v>····················</v>
      </c>
      <c r="D40" s="5">
        <f>OPERAÇÕES!F33</f>
        <v>0</v>
      </c>
      <c r="E40" s="4" t="str">
        <f ca="1">OPERAÇÕES!E33</f>
        <v>Em preparação</v>
      </c>
      <c r="F40" s="4" t="str">
        <f ca="1">OPERAÇÕES!H33</f>
        <v/>
      </c>
    </row>
    <row r="41" spans="1:6" x14ac:dyDescent="0.25">
      <c r="A41" s="4" t="str">
        <f>OPERAÇÕES!C34</f>
        <v>FORFUN SP</v>
      </c>
      <c r="B41" s="4" t="str">
        <f>TEXT(OPERAÇÕES!A34,"DD/MM")&amp;" a "&amp;TEXT(OPERAÇÕES!B34,"DD/MM")</f>
        <v>30/11 a 02/12</v>
      </c>
      <c r="C41" s="16" t="str">
        <f>REPT("■",ROUND(OPERAÇÕES!F34*20,0))&amp;REPT("·",20-ROUND(OPERAÇÕES!F34*20,0))</f>
        <v>····················</v>
      </c>
      <c r="D41" s="5">
        <f>OPERAÇÕES!F34</f>
        <v>0</v>
      </c>
      <c r="E41" s="4" t="str">
        <f ca="1">OPERAÇÕES!E34</f>
        <v>Em preparação</v>
      </c>
      <c r="F41" s="4" t="str">
        <f ca="1">OPERAÇÕES!H34</f>
        <v/>
      </c>
    </row>
    <row r="42" spans="1:6" x14ac:dyDescent="0.25">
      <c r="A42" s="4" t="str">
        <f>OPERAÇÕES!C35</f>
        <v>MED LAKE</v>
      </c>
      <c r="B42" s="4" t="str">
        <f>TEXT(OPERAÇÕES!A35,"DD/MM")&amp;" a "&amp;TEXT(OPERAÇÕES!B35,"DD/MM")</f>
        <v>30/11 a 03/12</v>
      </c>
      <c r="C42" s="16" t="str">
        <f>REPT("■",ROUND(OPERAÇÕES!F35*20,0))&amp;REPT("·",20-ROUND(OPERAÇÕES!F35*20,0))</f>
        <v>····················</v>
      </c>
      <c r="D42" s="5">
        <f>OPERAÇÕES!F35</f>
        <v>0</v>
      </c>
      <c r="E42" s="4" t="str">
        <f ca="1">OPERAÇÕES!E35</f>
        <v>Em preparação</v>
      </c>
      <c r="F42" s="4" t="str">
        <f ca="1">OPERAÇÕES!H35</f>
        <v/>
      </c>
    </row>
    <row r="43" spans="1:6" x14ac:dyDescent="0.25">
      <c r="A43" s="4" t="str">
        <f>OPERAÇÕES!C36</f>
        <v>FORFUN SP</v>
      </c>
      <c r="B43" s="4" t="str">
        <f>TEXT(OPERAÇÕES!A36,"DD/MM")&amp;" a "&amp;TEXT(OPERAÇÕES!B36,"DD/MM")</f>
        <v>02/12 a 04/12</v>
      </c>
      <c r="C43" s="16" t="str">
        <f>REPT("■",ROUND(OPERAÇÕES!F36*20,0))&amp;REPT("·",20-ROUND(OPERAÇÕES!F36*20,0))</f>
        <v>····················</v>
      </c>
      <c r="D43" s="5">
        <f>OPERAÇÕES!F36</f>
        <v>0</v>
      </c>
      <c r="E43" s="4" t="str">
        <f ca="1">OPERAÇÕES!E36</f>
        <v>Em preparação</v>
      </c>
      <c r="F43" s="4" t="str">
        <f ca="1">OPERAÇÕES!H36</f>
        <v/>
      </c>
    </row>
    <row r="44" spans="1:6" x14ac:dyDescent="0.25">
      <c r="A44" s="4" t="str">
        <f>OPERAÇÕES!C37</f>
        <v>FORFUN SP</v>
      </c>
      <c r="B44" s="4" t="str">
        <f>TEXT(OPERAÇÕES!A37,"DD/MM")&amp;" a "&amp;TEXT(OPERAÇÕES!B37,"DD/MM")</f>
        <v>04/12 a 06/12</v>
      </c>
      <c r="C44" s="16" t="str">
        <f>REPT("■",ROUND(OPERAÇÕES!F37*20,0))&amp;REPT("·",20-ROUND(OPERAÇÕES!F37*20,0))</f>
        <v>····················</v>
      </c>
      <c r="D44" s="5">
        <f>OPERAÇÕES!F37</f>
        <v>0</v>
      </c>
      <c r="E44" s="4" t="str">
        <f ca="1">OPERAÇÕES!E37</f>
        <v>Em preparação</v>
      </c>
      <c r="F44" s="4" t="str">
        <f ca="1">OPERAÇÕES!H37</f>
        <v/>
      </c>
    </row>
    <row r="45" spans="1:6" x14ac:dyDescent="0.25">
      <c r="A45" s="4" t="str">
        <f>OPERAÇÕES!C38</f>
        <v>CAMP SP</v>
      </c>
      <c r="B45" s="4" t="str">
        <f>TEXT(OPERAÇÕES!A38,"DD/MM")&amp;" a "&amp;TEXT(OPERAÇÕES!B38,"DD/MM")</f>
        <v>06/12 a 09/12</v>
      </c>
      <c r="C45" s="16" t="str">
        <f>REPT("■",ROUND(OPERAÇÕES!F38*20,0))&amp;REPT("·",20-ROUND(OPERAÇÕES!F38*20,0))</f>
        <v>····················</v>
      </c>
      <c r="D45" s="5">
        <f>OPERAÇÕES!F38</f>
        <v>0</v>
      </c>
      <c r="E45" s="4" t="str">
        <f ca="1">OPERAÇÕES!E38</f>
        <v>Em preparação</v>
      </c>
      <c r="F45" s="4" t="str">
        <f ca="1">OPERAÇÕES!H38</f>
        <v/>
      </c>
    </row>
    <row r="46" spans="1:6" x14ac:dyDescent="0.25">
      <c r="A46" s="4" t="str">
        <f>OPERAÇÕES!C39</f>
        <v>CAETÉ</v>
      </c>
      <c r="B46" s="4" t="str">
        <f>TEXT(OPERAÇÕES!A39,"DD/MM")&amp;" a "&amp;TEXT(OPERAÇÕES!B39,"DD/MM")</f>
        <v>07/12 a 10/12</v>
      </c>
      <c r="C46" s="16" t="str">
        <f>REPT("■",ROUND(OPERAÇÕES!F39*20,0))&amp;REPT("·",20-ROUND(OPERAÇÕES!F39*20,0))</f>
        <v>····················</v>
      </c>
      <c r="D46" s="5">
        <f>OPERAÇÕES!F39</f>
        <v>0</v>
      </c>
      <c r="E46" s="4" t="str">
        <f ca="1">OPERAÇÕES!E39</f>
        <v>Em preparação</v>
      </c>
      <c r="F46" s="4" t="str">
        <f ca="1">OPERAÇÕES!H39</f>
        <v/>
      </c>
    </row>
    <row r="47" spans="1:6" x14ac:dyDescent="0.25">
      <c r="A47" s="4" t="str">
        <f>OPERAÇÕES!C40</f>
        <v>FLORIPA</v>
      </c>
      <c r="B47" s="4" t="str">
        <f>TEXT(OPERAÇÕES!A40,"DD/MM")&amp;" a "&amp;TEXT(OPERAÇÕES!B40,"DD/MM")</f>
        <v>08/12 a 13/12</v>
      </c>
      <c r="C47" s="16" t="str">
        <f>REPT("■",ROUND(OPERAÇÕES!F40*20,0))&amp;REPT("·",20-ROUND(OPERAÇÕES!F40*20,0))</f>
        <v>····················</v>
      </c>
      <c r="D47" s="5">
        <f>OPERAÇÕES!F40</f>
        <v>0</v>
      </c>
      <c r="E47" s="4" t="str">
        <f ca="1">OPERAÇÕES!E40</f>
        <v>Em preparação</v>
      </c>
      <c r="F47" s="4" t="str">
        <f ca="1">OPERAÇÕES!H40</f>
        <v/>
      </c>
    </row>
    <row r="48" spans="1:6" x14ac:dyDescent="0.25">
      <c r="A48" s="4" t="str">
        <f>OPERAÇÕES!C41</f>
        <v>CAMP SP</v>
      </c>
      <c r="B48" s="4" t="str">
        <f>TEXT(OPERAÇÕES!A41,"DD/MM")&amp;" a "&amp;TEXT(OPERAÇÕES!B41,"DD/MM")</f>
        <v>09/12 a 12/12</v>
      </c>
      <c r="C48" s="16" t="str">
        <f>REPT("■",ROUND(OPERAÇÕES!F41*20,0))&amp;REPT("·",20-ROUND(OPERAÇÕES!F41*20,0))</f>
        <v>····················</v>
      </c>
      <c r="D48" s="5">
        <f>OPERAÇÕES!F41</f>
        <v>0</v>
      </c>
      <c r="E48" s="4" t="str">
        <f ca="1">OPERAÇÕES!E41</f>
        <v>Em preparação</v>
      </c>
      <c r="F48" s="4" t="str">
        <f ca="1">OPERAÇÕES!H41</f>
        <v/>
      </c>
    </row>
    <row r="49" spans="1:6" x14ac:dyDescent="0.25">
      <c r="A49" s="4" t="str">
        <f>OPERAÇÕES!C42</f>
        <v>CAMP SP</v>
      </c>
      <c r="B49" s="4" t="str">
        <f>TEXT(OPERAÇÕES!A42,"DD/MM")&amp;" a "&amp;TEXT(OPERAÇÕES!B42,"DD/MM")</f>
        <v>12/12 a 15/12</v>
      </c>
      <c r="C49" s="16" t="str">
        <f>REPT("■",ROUND(OPERAÇÕES!F42*20,0))&amp;REPT("·",20-ROUND(OPERAÇÕES!F42*20,0))</f>
        <v>····················</v>
      </c>
      <c r="D49" s="5">
        <f>OPERAÇÕES!F42</f>
        <v>0</v>
      </c>
      <c r="E49" s="4" t="str">
        <f ca="1">OPERAÇÕES!E42</f>
        <v>Em preparação</v>
      </c>
      <c r="F49" s="4" t="str">
        <f ca="1">OPERAÇÕES!H42</f>
        <v/>
      </c>
    </row>
    <row r="50" spans="1:6" x14ac:dyDescent="0.25">
      <c r="A50" s="4" t="str">
        <f>OPERAÇÕES!C43</f>
        <v>MED LAKE</v>
      </c>
      <c r="B50" s="4" t="str">
        <f>TEXT(OPERAÇÕES!A43,"DD/MM")&amp;" a "&amp;TEXT(OPERAÇÕES!B43,"DD/MM")</f>
        <v>13/12 a 16/12</v>
      </c>
      <c r="C50" s="16" t="str">
        <f>REPT("■",ROUND(OPERAÇÕES!F43*20,0))&amp;REPT("·",20-ROUND(OPERAÇÕES!F43*20,0))</f>
        <v>····················</v>
      </c>
      <c r="D50" s="5">
        <f>OPERAÇÕES!F43</f>
        <v>0</v>
      </c>
      <c r="E50" s="4" t="str">
        <f ca="1">OPERAÇÕES!E43</f>
        <v>Em preparação</v>
      </c>
      <c r="F50" s="4" t="str">
        <f ca="1">OPERAÇÕES!H43</f>
        <v/>
      </c>
    </row>
    <row r="51" spans="1:6" x14ac:dyDescent="0.25">
      <c r="A51" s="4" t="str">
        <f>OPERAÇÕES!C44</f>
        <v>VG ANGRA</v>
      </c>
      <c r="B51" s="4" t="str">
        <f>TEXT(OPERAÇÕES!A44,"DD/MM")&amp;" a "&amp;TEXT(OPERAÇÕES!B44,"DD/MM")</f>
        <v>14/12 a 17/12</v>
      </c>
      <c r="C51" s="16" t="str">
        <f>REPT("■",ROUND(OPERAÇÕES!F44*20,0))&amp;REPT("·",20-ROUND(OPERAÇÕES!F44*20,0))</f>
        <v>····················</v>
      </c>
      <c r="D51" s="5">
        <f>OPERAÇÕES!F44</f>
        <v>0</v>
      </c>
      <c r="E51" s="4" t="str">
        <f ca="1">OPERAÇÕES!E44</f>
        <v>Em preparação</v>
      </c>
      <c r="F51" s="4" t="str">
        <f ca="1">OPERAÇÕES!H44</f>
        <v/>
      </c>
    </row>
    <row r="52" spans="1:6" x14ac:dyDescent="0.25">
      <c r="A52" s="4" t="str">
        <f>OPERAÇÕES!C45</f>
        <v>CAMP SP</v>
      </c>
      <c r="B52" s="4" t="str">
        <f>TEXT(OPERAÇÕES!A45,"DD/MM")&amp;" a "&amp;TEXT(OPERAÇÕES!B45,"DD/MM")</f>
        <v>15/12 a 18/12</v>
      </c>
      <c r="C52" s="16" t="str">
        <f>REPT("■",ROUND(OPERAÇÕES!F45*20,0))&amp;REPT("·",20-ROUND(OPERAÇÕES!F45*20,0))</f>
        <v>····················</v>
      </c>
      <c r="D52" s="5">
        <f>OPERAÇÕES!F45</f>
        <v>0</v>
      </c>
      <c r="E52" s="4" t="str">
        <f ca="1">OPERAÇÕES!E45</f>
        <v>Em preparação</v>
      </c>
      <c r="F52" s="4" t="str">
        <f ca="1">OPERAÇÕES!H45</f>
        <v/>
      </c>
    </row>
    <row r="53" spans="1:6" x14ac:dyDescent="0.25">
      <c r="A53" s="4" t="str">
        <f>OPERAÇÕES!C46</f>
        <v>MED RIO</v>
      </c>
      <c r="B53" s="4" t="str">
        <f>TEXT(OPERAÇÕES!A46,"DD/MM")&amp;" a "&amp;TEXT(OPERAÇÕES!B46,"DD/MM")</f>
        <v>15/12 a 18/12</v>
      </c>
      <c r="C53" s="16" t="str">
        <f>REPT("■",ROUND(OPERAÇÕES!F46*20,0))&amp;REPT("·",20-ROUND(OPERAÇÕES!F46*20,0))</f>
        <v>····················</v>
      </c>
      <c r="D53" s="5">
        <f>OPERAÇÕES!F46</f>
        <v>0</v>
      </c>
      <c r="E53" s="4" t="str">
        <f ca="1">OPERAÇÕES!E46</f>
        <v>Em preparação</v>
      </c>
      <c r="F53" s="4" t="str">
        <f ca="1">OPERAÇÕES!H46</f>
        <v/>
      </c>
    </row>
    <row r="54" spans="1:6" x14ac:dyDescent="0.25">
      <c r="A54" s="4" t="str">
        <f>OPERAÇÕES!C47</f>
        <v>NOVOTEL</v>
      </c>
      <c r="B54" s="4" t="str">
        <f>TEXT(OPERAÇÕES!A47,"DD/MM")&amp;" a "&amp;TEXT(OPERAÇÕES!B47,"DD/MM")</f>
        <v>17/12 a 20/12</v>
      </c>
      <c r="C54" s="16" t="str">
        <f>REPT("■",ROUND(OPERAÇÕES!F47*20,0))&amp;REPT("·",20-ROUND(OPERAÇÕES!F47*20,0))</f>
        <v>····················</v>
      </c>
      <c r="D54" s="5">
        <f>OPERAÇÕES!F47</f>
        <v>0</v>
      </c>
      <c r="E54" s="4" t="str">
        <f ca="1">OPERAÇÕES!E47</f>
        <v>Em preparação</v>
      </c>
      <c r="F54" s="4" t="str">
        <f ca="1">OPERAÇÕES!H47</f>
        <v/>
      </c>
    </row>
  </sheetData>
  <conditionalFormatting sqref="F9:F54">
    <cfRule type="expression" dxfId="0" priority="1">
      <formula>ISNUMBER(SEARCH("ATRASADO",F9))</formula>
    </cfRule>
  </conditionalFormatting>
  <conditionalFormatting sqref="K9:K27">
    <cfRule type="dataBar" priority="2">
      <dataBar>
        <cfvo type="num" val="0"/>
        <cfvo type="num" val="46"/>
        <color rgb="FFF4B183"/>
      </dataBar>
      <extLst>
        <ext xmlns:x14="http://schemas.microsoft.com/office/spreadsheetml/2009/9/main" uri="{B025F937-C7B1-47D3-B67F-A62EFF666E3E}">
          <x14:id>{BE06E599-26D3-47BC-920C-CB5F93D831E1}</x14:id>
        </ext>
      </extLst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06E599-26D3-47BC-920C-CB5F93D831E1}">
            <x14:dataBar minLength="0" maxLength="100">
              <x14:cfvo type="num">
                <xm:f>0</xm:f>
              </x14:cfvo>
              <x14:cfvo type="num">
                <xm:f>46</xm:f>
              </x14:cfvo>
              <x14:negativeFillColor auto="1"/>
              <x14:axisColor auto="1"/>
            </x14:dataBar>
          </x14:cfRule>
          <xm:sqref>K9:K27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26" customWidth="1"/>
  </cols>
  <sheetData>
    <row r="1" spans="1:4" ht="18" x14ac:dyDescent="0.25">
      <c r="A1" s="7" t="s">
        <v>73</v>
      </c>
    </row>
    <row r="2" spans="1:4" x14ac:dyDescent="0.25">
      <c r="A2" s="8" t="s">
        <v>74</v>
      </c>
    </row>
    <row r="4" spans="1:4" x14ac:dyDescent="0.25">
      <c r="A4" s="15" t="s">
        <v>75</v>
      </c>
      <c r="B4" s="15" t="s">
        <v>67</v>
      </c>
      <c r="C4" s="15" t="s">
        <v>68</v>
      </c>
      <c r="D4" s="15" t="s">
        <v>76</v>
      </c>
    </row>
    <row r="5" spans="1:4" x14ac:dyDescent="0.25">
      <c r="A5" s="4">
        <v>1</v>
      </c>
      <c r="B5" s="4" t="s">
        <v>8</v>
      </c>
      <c r="C5" s="4" t="s">
        <v>71</v>
      </c>
      <c r="D5" s="17" t="s">
        <v>77</v>
      </c>
    </row>
    <row r="6" spans="1:4" x14ac:dyDescent="0.25">
      <c r="A6" s="4">
        <v>2</v>
      </c>
      <c r="B6" s="4" t="s">
        <v>9</v>
      </c>
      <c r="C6" s="4" t="s">
        <v>71</v>
      </c>
      <c r="D6" s="17" t="s">
        <v>77</v>
      </c>
    </row>
    <row r="7" spans="1:4" x14ac:dyDescent="0.25">
      <c r="A7" s="4">
        <v>3</v>
      </c>
      <c r="B7" s="4" t="s">
        <v>10</v>
      </c>
      <c r="C7" s="4" t="s">
        <v>71</v>
      </c>
      <c r="D7" s="17" t="s">
        <v>77</v>
      </c>
    </row>
    <row r="8" spans="1:4" x14ac:dyDescent="0.25">
      <c r="A8" s="4">
        <v>4</v>
      </c>
      <c r="B8" s="4" t="s">
        <v>11</v>
      </c>
      <c r="C8" s="4" t="s">
        <v>71</v>
      </c>
      <c r="D8" s="17" t="s">
        <v>77</v>
      </c>
    </row>
    <row r="9" spans="1:4" x14ac:dyDescent="0.25">
      <c r="A9" s="4">
        <v>5</v>
      </c>
      <c r="B9" s="4" t="s">
        <v>12</v>
      </c>
      <c r="C9" s="4" t="s">
        <v>71</v>
      </c>
      <c r="D9" s="17" t="s">
        <v>77</v>
      </c>
    </row>
    <row r="10" spans="1:4" x14ac:dyDescent="0.25">
      <c r="A10" s="4">
        <v>6</v>
      </c>
      <c r="B10" s="4" t="s">
        <v>13</v>
      </c>
      <c r="C10" s="4" t="s">
        <v>71</v>
      </c>
      <c r="D10" s="17" t="s">
        <v>77</v>
      </c>
    </row>
    <row r="11" spans="1:4" x14ac:dyDescent="0.25">
      <c r="A11" s="4">
        <v>7</v>
      </c>
      <c r="B11" s="4" t="s">
        <v>14</v>
      </c>
      <c r="C11" s="4" t="s">
        <v>71</v>
      </c>
      <c r="D11" s="17" t="s">
        <v>77</v>
      </c>
    </row>
    <row r="12" spans="1:4" x14ac:dyDescent="0.25">
      <c r="A12" s="4">
        <v>8</v>
      </c>
      <c r="B12" s="4" t="s">
        <v>15</v>
      </c>
      <c r="C12" s="4" t="s">
        <v>71</v>
      </c>
      <c r="D12" s="17" t="s">
        <v>77</v>
      </c>
    </row>
    <row r="13" spans="1:4" x14ac:dyDescent="0.25">
      <c r="A13" s="4">
        <v>9</v>
      </c>
      <c r="B13" s="4" t="s">
        <v>16</v>
      </c>
      <c r="C13" s="4" t="s">
        <v>71</v>
      </c>
      <c r="D13" s="17" t="s">
        <v>77</v>
      </c>
    </row>
    <row r="14" spans="1:4" x14ac:dyDescent="0.25">
      <c r="A14" s="4">
        <v>10</v>
      </c>
      <c r="B14" s="4" t="s">
        <v>17</v>
      </c>
      <c r="C14" s="4" t="s">
        <v>71</v>
      </c>
      <c r="D14" s="17" t="s">
        <v>77</v>
      </c>
    </row>
    <row r="15" spans="1:4" x14ac:dyDescent="0.25">
      <c r="A15" s="4">
        <v>11</v>
      </c>
      <c r="B15" s="4" t="s">
        <v>18</v>
      </c>
      <c r="C15" s="4" t="s">
        <v>71</v>
      </c>
      <c r="D15" s="17" t="s">
        <v>77</v>
      </c>
    </row>
    <row r="16" spans="1:4" x14ac:dyDescent="0.25">
      <c r="A16" s="4">
        <v>12</v>
      </c>
      <c r="B16" s="4" t="s">
        <v>19</v>
      </c>
      <c r="C16" s="4" t="s">
        <v>71</v>
      </c>
      <c r="D16" s="18" t="s">
        <v>78</v>
      </c>
    </row>
    <row r="17" spans="1:4" x14ac:dyDescent="0.25">
      <c r="A17" s="4">
        <v>13</v>
      </c>
      <c r="B17" s="4" t="s">
        <v>20</v>
      </c>
      <c r="C17" s="4" t="s">
        <v>72</v>
      </c>
      <c r="D17" s="17" t="s">
        <v>77</v>
      </c>
    </row>
    <row r="18" spans="1:4" x14ac:dyDescent="0.25">
      <c r="A18" s="4">
        <v>14</v>
      </c>
      <c r="B18" s="4" t="s">
        <v>21</v>
      </c>
      <c r="C18" s="4" t="s">
        <v>72</v>
      </c>
      <c r="D18" s="17" t="s">
        <v>77</v>
      </c>
    </row>
    <row r="19" spans="1:4" x14ac:dyDescent="0.25">
      <c r="A19" s="4">
        <v>15</v>
      </c>
      <c r="B19" s="4" t="s">
        <v>22</v>
      </c>
      <c r="C19" s="4" t="s">
        <v>72</v>
      </c>
      <c r="D19" s="17" t="s">
        <v>77</v>
      </c>
    </row>
    <row r="20" spans="1:4" x14ac:dyDescent="0.25">
      <c r="A20" s="4">
        <v>16</v>
      </c>
      <c r="B20" s="4" t="s">
        <v>23</v>
      </c>
      <c r="C20" s="4" t="s">
        <v>72</v>
      </c>
      <c r="D20" s="17" t="s">
        <v>77</v>
      </c>
    </row>
    <row r="21" spans="1:4" x14ac:dyDescent="0.25">
      <c r="A21" s="4">
        <v>17</v>
      </c>
      <c r="B21" s="4" t="s">
        <v>24</v>
      </c>
      <c r="C21" s="4" t="s">
        <v>72</v>
      </c>
      <c r="D21" s="17" t="s">
        <v>77</v>
      </c>
    </row>
    <row r="22" spans="1:4" x14ac:dyDescent="0.25">
      <c r="A22" s="4">
        <v>18</v>
      </c>
      <c r="B22" s="4" t="s">
        <v>25</v>
      </c>
      <c r="C22" s="4" t="s">
        <v>72</v>
      </c>
      <c r="D22" s="17" t="s">
        <v>77</v>
      </c>
    </row>
    <row r="23" spans="1:4" x14ac:dyDescent="0.25">
      <c r="A23" s="4">
        <v>19</v>
      </c>
      <c r="B23" s="4" t="s">
        <v>26</v>
      </c>
      <c r="C23" s="4" t="s">
        <v>72</v>
      </c>
      <c r="D23" s="17" t="s">
        <v>77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showGridLines="0" workbookViewId="0"/>
  </sheetViews>
  <sheetFormatPr defaultRowHeight="15" x14ac:dyDescent="0.25"/>
  <cols>
    <col min="1" max="1" width="100" customWidth="1"/>
  </cols>
  <sheetData>
    <row r="1" spans="1:1" ht="18" x14ac:dyDescent="0.25">
      <c r="A1" s="7" t="s">
        <v>79</v>
      </c>
    </row>
    <row r="3" spans="1:1" x14ac:dyDescent="0.25">
      <c r="A3" s="19" t="s">
        <v>80</v>
      </c>
    </row>
    <row r="4" spans="1:1" x14ac:dyDescent="0.25">
      <c r="A4" s="20" t="s">
        <v>81</v>
      </c>
    </row>
    <row r="5" spans="1:1" x14ac:dyDescent="0.25">
      <c r="A5" s="20" t="s">
        <v>82</v>
      </c>
    </row>
    <row r="6" spans="1:1" x14ac:dyDescent="0.25">
      <c r="A6" s="20" t="s">
        <v>83</v>
      </c>
    </row>
    <row r="7" spans="1:1" x14ac:dyDescent="0.25">
      <c r="A7" s="19" t="s">
        <v>84</v>
      </c>
    </row>
    <row r="8" spans="1:1" x14ac:dyDescent="0.25">
      <c r="A8" s="20" t="s">
        <v>85</v>
      </c>
    </row>
    <row r="9" spans="1:1" x14ac:dyDescent="0.25">
      <c r="A9" s="20" t="s">
        <v>86</v>
      </c>
    </row>
    <row r="10" spans="1:1" x14ac:dyDescent="0.25">
      <c r="A10" s="20" t="s">
        <v>83</v>
      </c>
    </row>
    <row r="11" spans="1:1" x14ac:dyDescent="0.25">
      <c r="A11" s="19" t="s">
        <v>87</v>
      </c>
    </row>
    <row r="12" spans="1:1" x14ac:dyDescent="0.25">
      <c r="A12" s="20" t="s">
        <v>88</v>
      </c>
    </row>
    <row r="13" spans="1:1" x14ac:dyDescent="0.25">
      <c r="A13" s="20" t="s">
        <v>89</v>
      </c>
    </row>
    <row r="14" spans="1:1" x14ac:dyDescent="0.25">
      <c r="A14" s="20" t="s">
        <v>90</v>
      </c>
    </row>
    <row r="15" spans="1:1" x14ac:dyDescent="0.25">
      <c r="A15" s="20" t="s">
        <v>83</v>
      </c>
    </row>
    <row r="16" spans="1:1" x14ac:dyDescent="0.25">
      <c r="A16" s="19" t="s">
        <v>91</v>
      </c>
    </row>
    <row r="17" spans="1:1" x14ac:dyDescent="0.25">
      <c r="A17" s="20" t="s">
        <v>92</v>
      </c>
    </row>
    <row r="18" spans="1:1" x14ac:dyDescent="0.25">
      <c r="A18" s="20" t="s">
        <v>93</v>
      </c>
    </row>
    <row r="19" spans="1:1" x14ac:dyDescent="0.25">
      <c r="A19" s="20" t="s">
        <v>83</v>
      </c>
    </row>
    <row r="20" spans="1:1" x14ac:dyDescent="0.25">
      <c r="A20" s="19" t="s">
        <v>94</v>
      </c>
    </row>
    <row r="21" spans="1:1" x14ac:dyDescent="0.25">
      <c r="A21" s="20" t="s">
        <v>95</v>
      </c>
    </row>
    <row r="22" spans="1:1" x14ac:dyDescent="0.25">
      <c r="A22" s="20" t="s">
        <v>96</v>
      </c>
    </row>
    <row r="23" spans="1:1" x14ac:dyDescent="0.25">
      <c r="A23" s="20" t="s">
        <v>97</v>
      </c>
    </row>
    <row r="24" spans="1:1" x14ac:dyDescent="0.25">
      <c r="A24" s="20" t="s">
        <v>98</v>
      </c>
    </row>
    <row r="25" spans="1:1" x14ac:dyDescent="0.25">
      <c r="A25" s="20" t="s">
        <v>83</v>
      </c>
    </row>
    <row r="26" spans="1:1" x14ac:dyDescent="0.25">
      <c r="A26" s="19" t="s">
        <v>99</v>
      </c>
    </row>
    <row r="27" spans="1:1" x14ac:dyDescent="0.25">
      <c r="A27" s="20" t="s">
        <v>100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OPERAÇÕES</vt:lpstr>
      <vt:lpstr>PAINEL</vt:lpstr>
      <vt:lpstr>ETAPAS</vt:lpstr>
      <vt:lpstr>COMO USAR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2026-08-11T20:39:35Z</dcterms:created>
  <dcterms:modified xsi:type="dcterms:W3CDTF">2026-08-11T20:40:17Z</dcterms:modified>
  <cp:category/>
</cp:coreProperties>
</file>